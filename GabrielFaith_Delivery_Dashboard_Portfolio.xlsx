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hidePivotFieldList="1" defaultThemeVersion="124226"/>
  <mc:AlternateContent xmlns:mc="http://schemas.openxmlformats.org/markup-compatibility/2006">
    <mc:Choice Requires="x15">
      <x15ac:absPath xmlns:x15ac="http://schemas.microsoft.com/office/spreadsheetml/2010/11/ac" url="C:\Users\Sendbox Tech\Documents\"/>
    </mc:Choice>
  </mc:AlternateContent>
  <bookViews>
    <workbookView xWindow="0" yWindow="0" windowWidth="20490" windowHeight="7500" activeTab="1"/>
  </bookViews>
  <sheets>
    <sheet name="DASHBOARD" sheetId="5" r:id="rId1"/>
    <sheet name="Dataset" sheetId="1" r:id="rId2"/>
    <sheet name="Pivot Table" sheetId="3" r:id="rId3"/>
    <sheet name="Raw Dataset" sheetId="2" r:id="rId4"/>
  </sheets>
  <definedNames>
    <definedName name="_xlnm._FilterDatabase" localSheetId="1" hidden="1">Dataset!$A$1:$J$101</definedName>
    <definedName name="Slicer_Courier">#N/A</definedName>
    <definedName name="Slicer_Region">#N/A</definedName>
    <definedName name="Slicer_Status">#N/A</definedName>
  </definedNames>
  <calcPr calcId="162913"/>
  <pivotCaches>
    <pivotCache cacheId="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2" i="1"/>
</calcChain>
</file>

<file path=xl/sharedStrings.xml><?xml version="1.0" encoding="utf-8"?>
<sst xmlns="http://schemas.openxmlformats.org/spreadsheetml/2006/main" count="839" uniqueCount="127">
  <si>
    <t>Delivery ID</t>
  </si>
  <si>
    <t>Region</t>
  </si>
  <si>
    <t>Courier</t>
  </si>
  <si>
    <t>Scheduled Delivery Date</t>
  </si>
  <si>
    <t>Actual Delivery Date</t>
  </si>
  <si>
    <t>Status</t>
  </si>
  <si>
    <t>Delivery Time (hrs)</t>
  </si>
  <si>
    <t>DLV1000</t>
  </si>
  <si>
    <t>DLV1001</t>
  </si>
  <si>
    <t>DLV1002</t>
  </si>
  <si>
    <t>DLV1003</t>
  </si>
  <si>
    <t>DLV1004</t>
  </si>
  <si>
    <t>DLV1005</t>
  </si>
  <si>
    <t>DLV1006</t>
  </si>
  <si>
    <t>DLV1007</t>
  </si>
  <si>
    <t>DLV1008</t>
  </si>
  <si>
    <t>DLV1009</t>
  </si>
  <si>
    <t>DLV1010</t>
  </si>
  <si>
    <t>DLV1011</t>
  </si>
  <si>
    <t>DLV1012</t>
  </si>
  <si>
    <t>DLV1013</t>
  </si>
  <si>
    <t>DLV1014</t>
  </si>
  <si>
    <t>DLV1015</t>
  </si>
  <si>
    <t>DLV1016</t>
  </si>
  <si>
    <t>DLV1017</t>
  </si>
  <si>
    <t>DLV1018</t>
  </si>
  <si>
    <t>DLV1019</t>
  </si>
  <si>
    <t>DLV1020</t>
  </si>
  <si>
    <t>DLV1021</t>
  </si>
  <si>
    <t>DLV1022</t>
  </si>
  <si>
    <t>DLV1023</t>
  </si>
  <si>
    <t>DLV1024</t>
  </si>
  <si>
    <t>DLV1025</t>
  </si>
  <si>
    <t>DLV1026</t>
  </si>
  <si>
    <t>DLV1027</t>
  </si>
  <si>
    <t>DLV1028</t>
  </si>
  <si>
    <t>DLV1029</t>
  </si>
  <si>
    <t>DLV1030</t>
  </si>
  <si>
    <t>DLV1031</t>
  </si>
  <si>
    <t>DLV1032</t>
  </si>
  <si>
    <t>DLV1033</t>
  </si>
  <si>
    <t>DLV1034</t>
  </si>
  <si>
    <t>DLV1035</t>
  </si>
  <si>
    <t>DLV1036</t>
  </si>
  <si>
    <t>DLV1037</t>
  </si>
  <si>
    <t>DLV1038</t>
  </si>
  <si>
    <t>DLV1039</t>
  </si>
  <si>
    <t>DLV1040</t>
  </si>
  <si>
    <t>DLV1041</t>
  </si>
  <si>
    <t>DLV1042</t>
  </si>
  <si>
    <t>DLV1043</t>
  </si>
  <si>
    <t>DLV1044</t>
  </si>
  <si>
    <t>DLV1045</t>
  </si>
  <si>
    <t>DLV1046</t>
  </si>
  <si>
    <t>DLV1047</t>
  </si>
  <si>
    <t>DLV1048</t>
  </si>
  <si>
    <t>DLV1049</t>
  </si>
  <si>
    <t>DLV1050</t>
  </si>
  <si>
    <t>DLV1051</t>
  </si>
  <si>
    <t>DLV1052</t>
  </si>
  <si>
    <t>DLV1053</t>
  </si>
  <si>
    <t>DLV1054</t>
  </si>
  <si>
    <t>DLV1055</t>
  </si>
  <si>
    <t>DLV1056</t>
  </si>
  <si>
    <t>DLV1057</t>
  </si>
  <si>
    <t>DLV1058</t>
  </si>
  <si>
    <t>DLV1059</t>
  </si>
  <si>
    <t>DLV1060</t>
  </si>
  <si>
    <t>DLV1061</t>
  </si>
  <si>
    <t>DLV1062</t>
  </si>
  <si>
    <t>DLV1063</t>
  </si>
  <si>
    <t>DLV1064</t>
  </si>
  <si>
    <t>DLV1065</t>
  </si>
  <si>
    <t>DLV1066</t>
  </si>
  <si>
    <t>DLV1067</t>
  </si>
  <si>
    <t>DLV1068</t>
  </si>
  <si>
    <t>DLV1069</t>
  </si>
  <si>
    <t>DLV1070</t>
  </si>
  <si>
    <t>DLV1071</t>
  </si>
  <si>
    <t>DLV1072</t>
  </si>
  <si>
    <t>DLV1073</t>
  </si>
  <si>
    <t>DLV1074</t>
  </si>
  <si>
    <t>DLV1075</t>
  </si>
  <si>
    <t>DLV1076</t>
  </si>
  <si>
    <t>DLV1077</t>
  </si>
  <si>
    <t>DLV1078</t>
  </si>
  <si>
    <t>DLV1079</t>
  </si>
  <si>
    <t>DLV1080</t>
  </si>
  <si>
    <t>DLV1081</t>
  </si>
  <si>
    <t>DLV1082</t>
  </si>
  <si>
    <t>DLV1083</t>
  </si>
  <si>
    <t>DLV1084</t>
  </si>
  <si>
    <t>DLV1085</t>
  </si>
  <si>
    <t>DLV1086</t>
  </si>
  <si>
    <t>DLV1087</t>
  </si>
  <si>
    <t>DLV1088</t>
  </si>
  <si>
    <t>DLV1089</t>
  </si>
  <si>
    <t>DLV1090</t>
  </si>
  <si>
    <t>DLV1091</t>
  </si>
  <si>
    <t>DLV1092</t>
  </si>
  <si>
    <t>DLV1093</t>
  </si>
  <si>
    <t>DLV1094</t>
  </si>
  <si>
    <t>DLV1095</t>
  </si>
  <si>
    <t>DLV1096</t>
  </si>
  <si>
    <t>DLV1097</t>
  </si>
  <si>
    <t>DLV1098</t>
  </si>
  <si>
    <t>DLV1099</t>
  </si>
  <si>
    <t>North</t>
  </si>
  <si>
    <t>East</t>
  </si>
  <si>
    <t>South</t>
  </si>
  <si>
    <t>West</t>
  </si>
  <si>
    <t>Courier B</t>
  </si>
  <si>
    <t>Courier C</t>
  </si>
  <si>
    <t>Courier A</t>
  </si>
  <si>
    <t>On-Time</t>
  </si>
  <si>
    <t>Delayed</t>
  </si>
  <si>
    <t>Delay (Days)</t>
  </si>
  <si>
    <t>On-Time Flag (Yes/No)</t>
  </si>
  <si>
    <t>Month</t>
  </si>
  <si>
    <t>Row Labels</t>
  </si>
  <si>
    <t>Grand Total</t>
  </si>
  <si>
    <t>Column Labels</t>
  </si>
  <si>
    <t>Count of Delivery ID</t>
  </si>
  <si>
    <t>Average of Delivery Time (hrs)</t>
  </si>
  <si>
    <t>Apr</t>
  </si>
  <si>
    <t>Average of Delay (Days)</t>
  </si>
  <si>
    <t>Count of Delay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</si>
</sst>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3" x14ac:knownFonts="1">
    <font>
      <sz val="11"/>
      <color theme="1"/>
      <name val="Calibri"/>
      <family val="2"/>
      <scheme val="minor"/>
    </font>
    <font>
      <b/>
      <sz val="11"/>
      <color theme="1"/>
      <name val="Calibri"/>
      <family val="2"/>
      <scheme val="minor"/>
    </font>
    <font>
      <sz val="22"/>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[GabrielFaith_Delivery_Dashboard_Portfolio.xlsx]Pivot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Delivery</a:t>
            </a:r>
            <a:r>
              <a:rPr lang="en-US" baseline="0"/>
              <a:t> Status by Region</a:t>
            </a:r>
            <a:endParaRPr lang="en-US"/>
          </a:p>
        </c:rich>
      </c:tx>
      <c:layout>
        <c:manualLayout>
          <c:xMode val="edge"/>
          <c:yMode val="edge"/>
          <c:x val="0.34598103070789399"/>
          <c:y val="6.55244727574882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bar"/>
        <c:grouping val="clustered"/>
        <c:varyColors val="0"/>
        <c:ser>
          <c:idx val="0"/>
          <c:order val="0"/>
          <c:tx>
            <c:strRef>
              <c:f>'Pivot Table'!$C$3:$C$4</c:f>
              <c:strCache>
                <c:ptCount val="1"/>
                <c:pt idx="0">
                  <c:v>Delayed</c:v>
                </c:pt>
              </c:strCache>
            </c:strRef>
          </c:tx>
          <c:spPr>
            <a:solidFill>
              <a:schemeClr val="accent1"/>
            </a:solidFill>
            <a:ln>
              <a:noFill/>
            </a:ln>
            <a:effectLst/>
          </c:spPr>
          <c:invertIfNegative val="0"/>
          <c:cat>
            <c:strRef>
              <c:f>'Pivot Table'!$B$5:$B$9</c:f>
              <c:strCache>
                <c:ptCount val="4"/>
                <c:pt idx="0">
                  <c:v>East</c:v>
                </c:pt>
                <c:pt idx="1">
                  <c:v>North</c:v>
                </c:pt>
                <c:pt idx="2">
                  <c:v>South</c:v>
                </c:pt>
                <c:pt idx="3">
                  <c:v>West</c:v>
                </c:pt>
              </c:strCache>
            </c:strRef>
          </c:cat>
          <c:val>
            <c:numRef>
              <c:f>'Pivot Table'!$C$5:$C$9</c:f>
              <c:numCache>
                <c:formatCode>General</c:formatCode>
                <c:ptCount val="4"/>
                <c:pt idx="0">
                  <c:v>6</c:v>
                </c:pt>
                <c:pt idx="1">
                  <c:v>13</c:v>
                </c:pt>
                <c:pt idx="2">
                  <c:v>12</c:v>
                </c:pt>
                <c:pt idx="3">
                  <c:v>10</c:v>
                </c:pt>
              </c:numCache>
            </c:numRef>
          </c:val>
          <c:extLst>
            <c:ext xmlns:c16="http://schemas.microsoft.com/office/drawing/2014/chart" uri="{C3380CC4-5D6E-409C-BE32-E72D297353CC}">
              <c16:uniqueId val="{00000000-28F1-47A8-8700-558507F42B07}"/>
            </c:ext>
          </c:extLst>
        </c:ser>
        <c:ser>
          <c:idx val="1"/>
          <c:order val="1"/>
          <c:tx>
            <c:strRef>
              <c:f>'Pivot Table'!$D$3:$D$4</c:f>
              <c:strCache>
                <c:ptCount val="1"/>
                <c:pt idx="0">
                  <c:v>On-Time</c:v>
                </c:pt>
              </c:strCache>
            </c:strRef>
          </c:tx>
          <c:spPr>
            <a:solidFill>
              <a:schemeClr val="accent2"/>
            </a:solidFill>
            <a:ln>
              <a:noFill/>
            </a:ln>
            <a:effectLst/>
          </c:spPr>
          <c:invertIfNegative val="0"/>
          <c:cat>
            <c:strRef>
              <c:f>'Pivot Table'!$B$5:$B$9</c:f>
              <c:strCache>
                <c:ptCount val="4"/>
                <c:pt idx="0">
                  <c:v>East</c:v>
                </c:pt>
                <c:pt idx="1">
                  <c:v>North</c:v>
                </c:pt>
                <c:pt idx="2">
                  <c:v>South</c:v>
                </c:pt>
                <c:pt idx="3">
                  <c:v>West</c:v>
                </c:pt>
              </c:strCache>
            </c:strRef>
          </c:cat>
          <c:val>
            <c:numRef>
              <c:f>'Pivot Table'!$D$5:$D$9</c:f>
              <c:numCache>
                <c:formatCode>General</c:formatCode>
                <c:ptCount val="4"/>
                <c:pt idx="0">
                  <c:v>18</c:v>
                </c:pt>
                <c:pt idx="1">
                  <c:v>14</c:v>
                </c:pt>
                <c:pt idx="2">
                  <c:v>17</c:v>
                </c:pt>
                <c:pt idx="3">
                  <c:v>10</c:v>
                </c:pt>
              </c:numCache>
            </c:numRef>
          </c:val>
          <c:extLst>
            <c:ext xmlns:c16="http://schemas.microsoft.com/office/drawing/2014/chart" uri="{C3380CC4-5D6E-409C-BE32-E72D297353CC}">
              <c16:uniqueId val="{00000002-28F1-47A8-8700-558507F42B07}"/>
            </c:ext>
          </c:extLst>
        </c:ser>
        <c:dLbls>
          <c:showLegendKey val="0"/>
          <c:showVal val="0"/>
          <c:showCatName val="0"/>
          <c:showSerName val="0"/>
          <c:showPercent val="0"/>
          <c:showBubbleSize val="0"/>
        </c:dLbls>
        <c:gapWidth val="182"/>
        <c:axId val="1636803584"/>
        <c:axId val="1636805248"/>
      </c:barChart>
      <c:catAx>
        <c:axId val="1636803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805248"/>
        <c:crosses val="autoZero"/>
        <c:auto val="1"/>
        <c:lblAlgn val="ctr"/>
        <c:lblOffset val="100"/>
        <c:noMultiLvlLbl val="0"/>
      </c:catAx>
      <c:valAx>
        <c:axId val="1636805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8035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[GabrielFaith_Delivery_Dashboard_Portfolio.xlsx]Pivot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Delivery Time by Courier</a:t>
            </a:r>
            <a:endParaRPr lang="en-US"/>
          </a:p>
        </c:rich>
      </c:tx>
      <c:layout>
        <c:manualLayout>
          <c:xMode val="edge"/>
          <c:yMode val="edge"/>
          <c:x val="0.16610946294602694"/>
          <c:y val="0.1467280358071183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 Table'!$C$13</c:f>
              <c:strCache>
                <c:ptCount val="1"/>
                <c:pt idx="0">
                  <c:v>Total</c:v>
                </c:pt>
              </c:strCache>
            </c:strRef>
          </c:tx>
          <c:spPr>
            <a:solidFill>
              <a:schemeClr val="accent1"/>
            </a:solidFill>
            <a:ln>
              <a:noFill/>
            </a:ln>
            <a:effectLst/>
          </c:spPr>
          <c:invertIfNegative val="0"/>
          <c:cat>
            <c:strRef>
              <c:f>'Pivot Table'!$B$14:$B$17</c:f>
              <c:strCache>
                <c:ptCount val="3"/>
                <c:pt idx="0">
                  <c:v>Courier A</c:v>
                </c:pt>
                <c:pt idx="1">
                  <c:v>Courier B</c:v>
                </c:pt>
                <c:pt idx="2">
                  <c:v>Courier C</c:v>
                </c:pt>
              </c:strCache>
            </c:strRef>
          </c:cat>
          <c:val>
            <c:numRef>
              <c:f>'Pivot Table'!$C$14:$C$17</c:f>
              <c:numCache>
                <c:formatCode>General</c:formatCode>
                <c:ptCount val="3"/>
                <c:pt idx="0">
                  <c:v>23.670270270270265</c:v>
                </c:pt>
                <c:pt idx="1">
                  <c:v>24.900000000000006</c:v>
                </c:pt>
                <c:pt idx="2">
                  <c:v>24.792105263157893</c:v>
                </c:pt>
              </c:numCache>
            </c:numRef>
          </c:val>
          <c:extLst>
            <c:ext xmlns:c16="http://schemas.microsoft.com/office/drawing/2014/chart" uri="{C3380CC4-5D6E-409C-BE32-E72D297353CC}">
              <c16:uniqueId val="{00000000-FDCD-4466-96BF-BFD0A72968CA}"/>
            </c:ext>
          </c:extLst>
        </c:ser>
        <c:dLbls>
          <c:showLegendKey val="0"/>
          <c:showVal val="0"/>
          <c:showCatName val="0"/>
          <c:showSerName val="0"/>
          <c:showPercent val="0"/>
          <c:showBubbleSize val="0"/>
        </c:dLbls>
        <c:gapWidth val="219"/>
        <c:overlap val="-27"/>
        <c:axId val="1808584224"/>
        <c:axId val="1808598368"/>
      </c:barChart>
      <c:catAx>
        <c:axId val="180858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598368"/>
        <c:crosses val="autoZero"/>
        <c:auto val="1"/>
        <c:lblAlgn val="ctr"/>
        <c:lblOffset val="100"/>
        <c:noMultiLvlLbl val="0"/>
      </c:catAx>
      <c:valAx>
        <c:axId val="1808598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5842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[GabrielFaith_Delivery_Dashboard_Portfolio.xlsx]Pivot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Delays</a:t>
            </a:r>
            <a:r>
              <a:rPr lang="en-US" baseline="0"/>
              <a:t> Over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28575" cap="rnd">
            <a:solidFill>
              <a:schemeClr val="accent1"/>
            </a:solidFill>
            <a:round/>
          </a:ln>
          <a:effectLst/>
        </c:spPr>
        <c:marker>
          <c:spPr>
            <a:solidFill>
              <a:schemeClr val="accent1"/>
            </a:solidFill>
            <a:ln w="9525">
              <a:solidFill>
                <a:schemeClr val="accent1"/>
              </a:solidFill>
            </a:ln>
            <a:effectLst/>
          </c:spPr>
        </c:marker>
      </c:pivotFmt>
      <c:pivotFmt>
        <c:idx val="9"/>
        <c:spPr>
          <a:ln w="28575" cap="rnd">
            <a:solidFill>
              <a:schemeClr val="accent1"/>
            </a:solidFill>
            <a:round/>
          </a:ln>
          <a:effectLst/>
        </c:spPr>
        <c:marker>
          <c:spPr>
            <a:solidFill>
              <a:schemeClr val="accent1"/>
            </a:solidFill>
            <a:ln w="9525">
              <a:solidFill>
                <a:schemeClr val="accent1"/>
              </a:solidFill>
            </a:ln>
            <a:effectLst/>
          </c:spPr>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
        <c:idx val="12"/>
        <c:spPr>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pivotFmt>
    </c:pivotFmts>
    <c:plotArea>
      <c:layout/>
      <c:lineChart>
        <c:grouping val="standard"/>
        <c:varyColors val="0"/>
        <c:ser>
          <c:idx val="0"/>
          <c:order val="0"/>
          <c:tx>
            <c:strRef>
              <c:f>'Pivot Table'!$C$21</c:f>
              <c:strCache>
                <c:ptCount val="1"/>
                <c:pt idx="0">
                  <c:v>Average of Delay (Days)</c:v>
                </c:pt>
              </c:strCache>
            </c:strRef>
          </c:tx>
          <c:spPr>
            <a:ln w="28575" cap="rnd">
              <a:solidFill>
                <a:schemeClr val="accent1"/>
              </a:solidFill>
              <a:round/>
            </a:ln>
            <a:effectLst/>
          </c:spPr>
          <c:marker>
            <c:symbol val="none"/>
          </c:marker>
          <c:cat>
            <c:strRef>
              <c:f>'Pivot Table'!$B$22:$B$23</c:f>
              <c:strCache>
                <c:ptCount val="1"/>
                <c:pt idx="0">
                  <c:v>Apr</c:v>
                </c:pt>
              </c:strCache>
            </c:strRef>
          </c:cat>
          <c:val>
            <c:numRef>
              <c:f>'Pivot Table'!$C$22:$C$23</c:f>
              <c:numCache>
                <c:formatCode>General</c:formatCode>
                <c:ptCount val="1"/>
                <c:pt idx="0">
                  <c:v>0.78</c:v>
                </c:pt>
              </c:numCache>
            </c:numRef>
          </c:val>
          <c:smooth val="0"/>
          <c:extLst>
            <c:ext xmlns:c16="http://schemas.microsoft.com/office/drawing/2014/chart" uri="{C3380CC4-5D6E-409C-BE32-E72D297353CC}">
              <c16:uniqueId val="{00000000-DB4B-44ED-A887-97F3FE9FEF4D}"/>
            </c:ext>
          </c:extLst>
        </c:ser>
        <c:ser>
          <c:idx val="1"/>
          <c:order val="1"/>
          <c:tx>
            <c:strRef>
              <c:f>'Pivot Table'!$D$21</c:f>
              <c:strCache>
                <c:ptCount val="1"/>
                <c:pt idx="0">
                  <c:v>Count of Delay (Days)</c:v>
                </c:pt>
              </c:strCache>
            </c:strRef>
          </c:tx>
          <c:spPr>
            <a:ln w="28575" cap="rnd">
              <a:solidFill>
                <a:schemeClr val="accent2"/>
              </a:solidFill>
              <a:round/>
            </a:ln>
            <a:effectLst/>
          </c:spPr>
          <c:marker>
            <c:symbol val="none"/>
          </c:marker>
          <c:cat>
            <c:strRef>
              <c:f>'Pivot Table'!$B$22:$B$23</c:f>
              <c:strCache>
                <c:ptCount val="1"/>
                <c:pt idx="0">
                  <c:v>Apr</c:v>
                </c:pt>
              </c:strCache>
            </c:strRef>
          </c:cat>
          <c:val>
            <c:numRef>
              <c:f>'Pivot Table'!$D$22:$D$23</c:f>
              <c:numCache>
                <c:formatCode>General</c:formatCode>
                <c:ptCount val="1"/>
                <c:pt idx="0">
                  <c:v>100</c:v>
                </c:pt>
              </c:numCache>
            </c:numRef>
          </c:val>
          <c:smooth val="0"/>
          <c:extLst>
            <c:ext xmlns:c16="http://schemas.microsoft.com/office/drawing/2014/chart" uri="{C3380CC4-5D6E-409C-BE32-E72D297353CC}">
              <c16:uniqueId val="{00000001-DB4B-44ED-A887-97F3FE9FEF4D}"/>
            </c:ext>
          </c:extLst>
        </c:ser>
        <c:dLbls>
          <c:showLegendKey val="0"/>
          <c:showVal val="0"/>
          <c:showCatName val="0"/>
          <c:showSerName val="0"/>
          <c:showPercent val="0"/>
          <c:showBubbleSize val="0"/>
        </c:dLbls>
        <c:smooth val="0"/>
        <c:axId val="1808588800"/>
        <c:axId val="1808581728"/>
      </c:lineChart>
      <c:catAx>
        <c:axId val="180858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581728"/>
        <c:crosses val="autoZero"/>
        <c:auto val="1"/>
        <c:lblAlgn val="ctr"/>
        <c:lblOffset val="100"/>
        <c:noMultiLvlLbl val="0"/>
      </c:catAx>
      <c:valAx>
        <c:axId val="180858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5888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[GabrielFaith_Delivery_Dashboard_Portfolio.xlsx]Pivot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a:t>
            </a:r>
            <a:r>
              <a:rPr lang="en-US" baseline="0"/>
              <a:t> Delivery Status</a:t>
            </a:r>
            <a:endParaRPr lang="en-US"/>
          </a:p>
        </c:rich>
      </c:tx>
      <c:layout>
        <c:manualLayout>
          <c:xMode val="edge"/>
          <c:yMode val="edge"/>
          <c:x val="0.31299390743577865"/>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6927710-7B6C-4E3A-A75F-C621C9A13740}"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556FC58-0942-41BF-A83A-E01A1A23DC95}"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4"/>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 </a:t>
                </a:r>
                <a:fld id="{455A5DE5-74B4-4076-9E98-BDEC5246738F}"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3"/>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A0B6BD4-C111-47A1-A9E9-F6999E374DD6}"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556FC58-0942-41BF-A83A-E01A1A23DC95}"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6927710-7B6C-4E3A-A75F-C621C9A13740}"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A0B6BD4-C111-47A1-A9E9-F6999E374DD6}"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 </a:t>
                </a:r>
                <a:fld id="{455A5DE5-74B4-4076-9E98-BDEC5246738F}" type="PERCENTAGE">
                  <a:rPr lang="en-US"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556FC58-0942-41BF-A83A-E01A1A23DC95}" type="PERCENTAGE">
                  <a:rPr lang="en-US" baseline="0"/>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15:dlblFieldTable/>
              <c15:showDataLabelsRange val="0"/>
            </c:ext>
          </c:extLst>
        </c:dLbl>
      </c:pivotFmt>
      <c:pivotFmt>
        <c:idx val="20"/>
        <c:spPr>
          <a:solidFill>
            <a:schemeClr val="accent1"/>
          </a:solidFill>
          <a:ln w="19050">
            <a:solidFill>
              <a:schemeClr val="lt1"/>
            </a:solid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6927710-7B6C-4E3A-A75F-C621C9A13740}" type="PERCENTAGE">
                  <a:rPr lang="en-US" baseline="0"/>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15:dlblFieldTable/>
              <c15:showDataLabelsRange val="0"/>
            </c:ext>
          </c:extLst>
        </c:dLbl>
      </c:pivotFmt>
      <c:pivotFmt>
        <c:idx val="21"/>
        <c:spPr>
          <a:solidFill>
            <a:schemeClr val="accent1"/>
          </a:solidFill>
          <a:ln w="19050">
            <a:solidFill>
              <a:schemeClr val="lt1"/>
            </a:solid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A0B6BD4-C111-47A1-A9E9-F6999E374DD6}" type="PERCENTAGE">
                  <a:rPr lang="en-US" baseline="0"/>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15:dlblFieldTable/>
              <c15:showDataLabelsRange val="0"/>
            </c:ext>
          </c:extLst>
        </c:dLbl>
      </c:pivotFmt>
      <c:pivotFmt>
        <c:idx val="22"/>
        <c:spPr>
          <a:solidFill>
            <a:schemeClr val="accent1"/>
          </a:solidFill>
          <a:ln w="19050">
            <a:solidFill>
              <a:schemeClr val="lt1"/>
            </a:solid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 </a:t>
                </a:r>
                <a:fld id="{455A5DE5-74B4-4076-9E98-BDEC5246738F}"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15:dlblFieldTable/>
              <c15:showDataLabelsRange val="0"/>
            </c:ext>
          </c:extLst>
        </c:dLbl>
      </c:pivotFmt>
      <c:pivotFmt>
        <c:idx val="23"/>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pivotFmt>
      <c:pivotFmt>
        <c:idx val="29"/>
        <c:spPr>
          <a:solidFill>
            <a:schemeClr val="accent1"/>
          </a:solidFill>
          <a:ln w="19050">
            <a:solidFill>
              <a:schemeClr val="lt1"/>
            </a:solidFill>
          </a:ln>
          <a:effectLst/>
        </c:spPr>
        <c:marker>
          <c:symbol val="none"/>
        </c:marker>
      </c:pivotFmt>
    </c:pivotFmts>
    <c:plotArea>
      <c:layout/>
      <c:pieChart>
        <c:varyColors val="1"/>
        <c:ser>
          <c:idx val="0"/>
          <c:order val="0"/>
          <c:tx>
            <c:strRef>
              <c:f>'Pivot Table'!$C$3:$C$4</c:f>
              <c:strCache>
                <c:ptCount val="1"/>
                <c:pt idx="0">
                  <c:v>Delayed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98-486A-9E3C-B28B5E8EA7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98-486A-9E3C-B28B5E8EA7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98-486A-9E3C-B28B5E8EA7B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98-486A-9E3C-B28B5E8EA7BF}"/>
              </c:ext>
            </c:extLst>
          </c:dPt>
          <c:dLbls>
            <c:delete val="1"/>
          </c:dLbls>
          <c:cat>
            <c:strRef>
              <c:f>'Pivot Table'!$B$5:$B$9</c:f>
              <c:strCache>
                <c:ptCount val="4"/>
                <c:pt idx="0">
                  <c:v>East</c:v>
                </c:pt>
                <c:pt idx="1">
                  <c:v>North</c:v>
                </c:pt>
                <c:pt idx="2">
                  <c:v>South</c:v>
                </c:pt>
                <c:pt idx="3">
                  <c:v>West</c:v>
                </c:pt>
              </c:strCache>
            </c:strRef>
          </c:cat>
          <c:val>
            <c:numRef>
              <c:f>'Pivot Table'!$C$5:$C$9</c:f>
              <c:numCache>
                <c:formatCode>General</c:formatCode>
                <c:ptCount val="4"/>
                <c:pt idx="0">
                  <c:v>6</c:v>
                </c:pt>
                <c:pt idx="1">
                  <c:v>13</c:v>
                </c:pt>
                <c:pt idx="2">
                  <c:v>12</c:v>
                </c:pt>
                <c:pt idx="3">
                  <c:v>10</c:v>
                </c:pt>
              </c:numCache>
            </c:numRef>
          </c:val>
          <c:extLst>
            <c:ext xmlns:c16="http://schemas.microsoft.com/office/drawing/2014/chart" uri="{C3380CC4-5D6E-409C-BE32-E72D297353CC}">
              <c16:uniqueId val="{00000008-E098-486A-9E3C-B28B5E8EA7BF}"/>
            </c:ext>
          </c:extLst>
        </c:ser>
        <c:ser>
          <c:idx val="1"/>
          <c:order val="1"/>
          <c:tx>
            <c:strRef>
              <c:f>'Pivot Table'!$D$3:$D$4</c:f>
              <c:strCache>
                <c:ptCount val="1"/>
                <c:pt idx="0">
                  <c:v>On-Time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elete val="1"/>
          </c:dLbls>
          <c:cat>
            <c:strRef>
              <c:f>'Pivot Table'!$B$5:$B$9</c:f>
              <c:strCache>
                <c:ptCount val="4"/>
                <c:pt idx="0">
                  <c:v>East</c:v>
                </c:pt>
                <c:pt idx="1">
                  <c:v>North</c:v>
                </c:pt>
                <c:pt idx="2">
                  <c:v>South</c:v>
                </c:pt>
                <c:pt idx="3">
                  <c:v>West</c:v>
                </c:pt>
              </c:strCache>
            </c:strRef>
          </c:cat>
          <c:val>
            <c:numRef>
              <c:f>'Pivot Table'!$D$5:$D$9</c:f>
              <c:numCache>
                <c:formatCode>General</c:formatCode>
                <c:ptCount val="4"/>
                <c:pt idx="0">
                  <c:v>18</c:v>
                </c:pt>
                <c:pt idx="1">
                  <c:v>14</c:v>
                </c:pt>
                <c:pt idx="2">
                  <c:v>17</c:v>
                </c:pt>
                <c:pt idx="3">
                  <c:v>10</c:v>
                </c:pt>
              </c:numCache>
            </c:numRef>
          </c:val>
          <c:extLst>
            <c:ext xmlns:c16="http://schemas.microsoft.com/office/drawing/2014/chart" uri="{C3380CC4-5D6E-409C-BE32-E72D297353CC}">
              <c16:uniqueId val="{00000012-E098-486A-9E3C-B28B5E8EA7BF}"/>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[GabrielFaith_Delivery_Dashboard_Portfolio.xlsx]Pivot Table!PivotTable1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'Pivot Table'!$C$3:$C$4</c:f>
              <c:strCache>
                <c:ptCount val="1"/>
                <c:pt idx="0">
                  <c:v>Delayed</c:v>
                </c:pt>
              </c:strCache>
            </c:strRef>
          </c:tx>
          <c:spPr>
            <a:solidFill>
              <a:schemeClr val="accent1"/>
            </a:solidFill>
            <a:ln>
              <a:noFill/>
            </a:ln>
            <a:effectLst/>
          </c:spPr>
          <c:invertIfNegative val="0"/>
          <c:cat>
            <c:strRef>
              <c:f>'Pivot Table'!$B$5:$B$9</c:f>
              <c:strCache>
                <c:ptCount val="4"/>
                <c:pt idx="0">
                  <c:v>East</c:v>
                </c:pt>
                <c:pt idx="1">
                  <c:v>North</c:v>
                </c:pt>
                <c:pt idx="2">
                  <c:v>South</c:v>
                </c:pt>
                <c:pt idx="3">
                  <c:v>West</c:v>
                </c:pt>
              </c:strCache>
            </c:strRef>
          </c:cat>
          <c:val>
            <c:numRef>
              <c:f>'Pivot Table'!$C$5:$C$9</c:f>
              <c:numCache>
                <c:formatCode>General</c:formatCode>
                <c:ptCount val="4"/>
                <c:pt idx="0">
                  <c:v>6</c:v>
                </c:pt>
                <c:pt idx="1">
                  <c:v>13</c:v>
                </c:pt>
                <c:pt idx="2">
                  <c:v>12</c:v>
                </c:pt>
                <c:pt idx="3">
                  <c:v>10</c:v>
                </c:pt>
              </c:numCache>
            </c:numRef>
          </c:val>
          <c:extLst>
            <c:ext xmlns:c16="http://schemas.microsoft.com/office/drawing/2014/chart" uri="{C3380CC4-5D6E-409C-BE32-E72D297353CC}">
              <c16:uniqueId val="{00000000-FDDC-4322-AE13-2FEECA779772}"/>
            </c:ext>
          </c:extLst>
        </c:ser>
        <c:ser>
          <c:idx val="1"/>
          <c:order val="1"/>
          <c:tx>
            <c:strRef>
              <c:f>'Pivot Table'!$D$3:$D$4</c:f>
              <c:strCache>
                <c:ptCount val="1"/>
                <c:pt idx="0">
                  <c:v>On-Time</c:v>
                </c:pt>
              </c:strCache>
            </c:strRef>
          </c:tx>
          <c:spPr>
            <a:solidFill>
              <a:schemeClr val="accent2"/>
            </a:solidFill>
            <a:ln>
              <a:noFill/>
            </a:ln>
            <a:effectLst/>
          </c:spPr>
          <c:invertIfNegative val="0"/>
          <c:cat>
            <c:strRef>
              <c:f>'Pivot Table'!$B$5:$B$9</c:f>
              <c:strCache>
                <c:ptCount val="4"/>
                <c:pt idx="0">
                  <c:v>East</c:v>
                </c:pt>
                <c:pt idx="1">
                  <c:v>North</c:v>
                </c:pt>
                <c:pt idx="2">
                  <c:v>South</c:v>
                </c:pt>
                <c:pt idx="3">
                  <c:v>West</c:v>
                </c:pt>
              </c:strCache>
            </c:strRef>
          </c:cat>
          <c:val>
            <c:numRef>
              <c:f>'Pivot Table'!$D$5:$D$9</c:f>
              <c:numCache>
                <c:formatCode>General</c:formatCode>
                <c:ptCount val="4"/>
                <c:pt idx="0">
                  <c:v>18</c:v>
                </c:pt>
                <c:pt idx="1">
                  <c:v>14</c:v>
                </c:pt>
                <c:pt idx="2">
                  <c:v>17</c:v>
                </c:pt>
                <c:pt idx="3">
                  <c:v>10</c:v>
                </c:pt>
              </c:numCache>
            </c:numRef>
          </c:val>
          <c:extLst>
            <c:ext xmlns:c16="http://schemas.microsoft.com/office/drawing/2014/chart" uri="{C3380CC4-5D6E-409C-BE32-E72D297353CC}">
              <c16:uniqueId val="{00000003-FDDC-4322-AE13-2FEECA779772}"/>
            </c:ext>
          </c:extLst>
        </c:ser>
        <c:dLbls>
          <c:showLegendKey val="0"/>
          <c:showVal val="0"/>
          <c:showCatName val="0"/>
          <c:showSerName val="0"/>
          <c:showPercent val="0"/>
          <c:showBubbleSize val="0"/>
        </c:dLbls>
        <c:gapWidth val="182"/>
        <c:axId val="1636803584"/>
        <c:axId val="1636805248"/>
      </c:barChart>
      <c:catAx>
        <c:axId val="1636803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805248"/>
        <c:crosses val="autoZero"/>
        <c:auto val="1"/>
        <c:lblAlgn val="ctr"/>
        <c:lblOffset val="100"/>
        <c:noMultiLvlLbl val="0"/>
      </c:catAx>
      <c:valAx>
        <c:axId val="1636805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8035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[GabrielFaith_Delivery_Dashboard_Portfolio.xlsx]Pivot Table!PivotTable3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Table'!$C$13</c:f>
              <c:strCache>
                <c:ptCount val="1"/>
                <c:pt idx="0">
                  <c:v>Total</c:v>
                </c:pt>
              </c:strCache>
            </c:strRef>
          </c:tx>
          <c:spPr>
            <a:solidFill>
              <a:schemeClr val="accent1"/>
            </a:solidFill>
            <a:ln>
              <a:noFill/>
            </a:ln>
            <a:effectLst/>
          </c:spPr>
          <c:invertIfNegative val="0"/>
          <c:cat>
            <c:strRef>
              <c:f>'Pivot Table'!$B$14:$B$17</c:f>
              <c:strCache>
                <c:ptCount val="3"/>
                <c:pt idx="0">
                  <c:v>Courier A</c:v>
                </c:pt>
                <c:pt idx="1">
                  <c:v>Courier B</c:v>
                </c:pt>
                <c:pt idx="2">
                  <c:v>Courier C</c:v>
                </c:pt>
              </c:strCache>
            </c:strRef>
          </c:cat>
          <c:val>
            <c:numRef>
              <c:f>'Pivot Table'!$C$14:$C$17</c:f>
              <c:numCache>
                <c:formatCode>General</c:formatCode>
                <c:ptCount val="3"/>
                <c:pt idx="0">
                  <c:v>23.670270270270265</c:v>
                </c:pt>
                <c:pt idx="1">
                  <c:v>24.900000000000006</c:v>
                </c:pt>
                <c:pt idx="2">
                  <c:v>24.792105263157893</c:v>
                </c:pt>
              </c:numCache>
            </c:numRef>
          </c:val>
          <c:extLst>
            <c:ext xmlns:c16="http://schemas.microsoft.com/office/drawing/2014/chart" uri="{C3380CC4-5D6E-409C-BE32-E72D297353CC}">
              <c16:uniqueId val="{00000000-7750-4EA4-8FC8-9EA142D3E19D}"/>
            </c:ext>
          </c:extLst>
        </c:ser>
        <c:dLbls>
          <c:showLegendKey val="0"/>
          <c:showVal val="0"/>
          <c:showCatName val="0"/>
          <c:showSerName val="0"/>
          <c:showPercent val="0"/>
          <c:showBubbleSize val="0"/>
        </c:dLbls>
        <c:gapWidth val="219"/>
        <c:overlap val="-27"/>
        <c:axId val="1808584224"/>
        <c:axId val="1808598368"/>
      </c:barChart>
      <c:catAx>
        <c:axId val="180858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598368"/>
        <c:crosses val="autoZero"/>
        <c:auto val="1"/>
        <c:lblAlgn val="ctr"/>
        <c:lblOffset val="100"/>
        <c:noMultiLvlLbl val="0"/>
      </c:catAx>
      <c:valAx>
        <c:axId val="1808598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5842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[GabrielFaith_Delivery_Dashboard_Portfolio.xlsx]Pivot Table!PivotTable4</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'Pivot Table'!$C$21</c:f>
              <c:strCache>
                <c:ptCount val="1"/>
                <c:pt idx="0">
                  <c:v>Average of Delay (Days)</c:v>
                </c:pt>
              </c:strCache>
            </c:strRef>
          </c:tx>
          <c:spPr>
            <a:ln w="28575" cap="rnd">
              <a:solidFill>
                <a:schemeClr val="accent1"/>
              </a:solidFill>
              <a:round/>
            </a:ln>
            <a:effectLst/>
          </c:spPr>
          <c:marker>
            <c:symbol val="none"/>
          </c:marker>
          <c:cat>
            <c:strRef>
              <c:f>'Pivot Table'!$B$22:$B$23</c:f>
              <c:strCache>
                <c:ptCount val="1"/>
                <c:pt idx="0">
                  <c:v>Apr</c:v>
                </c:pt>
              </c:strCache>
            </c:strRef>
          </c:cat>
          <c:val>
            <c:numRef>
              <c:f>'Pivot Table'!$C$22:$C$23</c:f>
              <c:numCache>
                <c:formatCode>General</c:formatCode>
                <c:ptCount val="1"/>
                <c:pt idx="0">
                  <c:v>0.78</c:v>
                </c:pt>
              </c:numCache>
            </c:numRef>
          </c:val>
          <c:smooth val="0"/>
          <c:extLst>
            <c:ext xmlns:c16="http://schemas.microsoft.com/office/drawing/2014/chart" uri="{C3380CC4-5D6E-409C-BE32-E72D297353CC}">
              <c16:uniqueId val="{00000000-148C-4EC1-A5BC-28CE4F63522F}"/>
            </c:ext>
          </c:extLst>
        </c:ser>
        <c:ser>
          <c:idx val="1"/>
          <c:order val="1"/>
          <c:tx>
            <c:strRef>
              <c:f>'Pivot Table'!$D$21</c:f>
              <c:strCache>
                <c:ptCount val="1"/>
                <c:pt idx="0">
                  <c:v>Count of Delay (Days)</c:v>
                </c:pt>
              </c:strCache>
            </c:strRef>
          </c:tx>
          <c:spPr>
            <a:ln w="28575" cap="rnd">
              <a:solidFill>
                <a:schemeClr val="accent2"/>
              </a:solidFill>
              <a:round/>
            </a:ln>
            <a:effectLst/>
          </c:spPr>
          <c:marker>
            <c:symbol val="none"/>
          </c:marker>
          <c:cat>
            <c:strRef>
              <c:f>'Pivot Table'!$B$22:$B$23</c:f>
              <c:strCache>
                <c:ptCount val="1"/>
                <c:pt idx="0">
                  <c:v>Apr</c:v>
                </c:pt>
              </c:strCache>
            </c:strRef>
          </c:cat>
          <c:val>
            <c:numRef>
              <c:f>'Pivot Table'!$D$22:$D$23</c:f>
              <c:numCache>
                <c:formatCode>General</c:formatCode>
                <c:ptCount val="1"/>
                <c:pt idx="0">
                  <c:v>100</c:v>
                </c:pt>
              </c:numCache>
            </c:numRef>
          </c:val>
          <c:smooth val="0"/>
          <c:extLst>
            <c:ext xmlns:c16="http://schemas.microsoft.com/office/drawing/2014/chart" uri="{C3380CC4-5D6E-409C-BE32-E72D297353CC}">
              <c16:uniqueId val="{00000001-148C-4EC1-A5BC-28CE4F63522F}"/>
            </c:ext>
          </c:extLst>
        </c:ser>
        <c:dLbls>
          <c:showLegendKey val="0"/>
          <c:showVal val="0"/>
          <c:showCatName val="0"/>
          <c:showSerName val="0"/>
          <c:showPercent val="0"/>
          <c:showBubbleSize val="0"/>
        </c:dLbls>
        <c:smooth val="0"/>
        <c:axId val="1808588800"/>
        <c:axId val="1808581728"/>
      </c:lineChart>
      <c:catAx>
        <c:axId val="180858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581728"/>
        <c:crosses val="autoZero"/>
        <c:auto val="1"/>
        <c:lblAlgn val="ctr"/>
        <c:lblOffset val="100"/>
        <c:noMultiLvlLbl val="0"/>
      </c:catAx>
      <c:valAx>
        <c:axId val="180858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5888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[GabrielFaith_Delivery_Dashboard_Portfolio.xlsx]Pivot Table!PivotTable1</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6927710-7B6C-4E3A-A75F-C621C9A13740}" type="PERCENTAGE">
                  <a:rPr lang="en-US" baseline="0"/>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15:dlblFieldTable/>
              <c15:showDataLabelsRange val="0"/>
            </c:ext>
          </c:extLst>
        </c:dLbl>
      </c:pivotFmt>
      <c:pivotFmt>
        <c:idx val="5"/>
        <c:spPr>
          <a:solidFill>
            <a:schemeClr val="accent1"/>
          </a:solidFill>
          <a:ln w="19050">
            <a:solidFill>
              <a:schemeClr val="lt1"/>
            </a:solid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556FC58-0942-41BF-A83A-E01A1A23DC95}" type="PERCENTAGE">
                  <a:rPr lang="en-US" baseline="0"/>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15:dlblFieldTable/>
              <c15:showDataLabelsRange val="0"/>
            </c:ext>
          </c:extLst>
        </c:dLbl>
      </c:pivotFmt>
      <c:pivotFmt>
        <c:idx val="6"/>
        <c:spPr>
          <a:solidFill>
            <a:schemeClr val="accent4"/>
          </a:solidFill>
          <a:ln w="19050">
            <a:solidFill>
              <a:schemeClr val="lt1"/>
            </a:solid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baseline="0"/>
                  <a:t> </a:t>
                </a:r>
                <a:fld id="{455A5DE5-74B4-4076-9E98-BDEC5246738F}"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15:dlblFieldTable/>
              <c15:showDataLabelsRange val="0"/>
            </c:ext>
          </c:extLst>
        </c:dLbl>
      </c:pivotFmt>
      <c:pivotFmt>
        <c:idx val="7"/>
        <c:spPr>
          <a:solidFill>
            <a:schemeClr val="accent3"/>
          </a:solidFill>
          <a:ln w="19050">
            <a:solidFill>
              <a:schemeClr val="lt1"/>
            </a:solid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A0B6BD4-C111-47A1-A9E9-F6999E374DD6}" type="PERCENTAGE">
                  <a:rPr lang="en-US" baseline="0"/>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15:dlblFieldTable/>
              <c15:showDataLabelsRange val="0"/>
            </c:ext>
          </c:extLst>
        </c:dLbl>
      </c:pivotFmt>
    </c:pivotFmts>
    <c:plotArea>
      <c:layout/>
      <c:pieChart>
        <c:varyColors val="1"/>
        <c:ser>
          <c:idx val="0"/>
          <c:order val="0"/>
          <c:tx>
            <c:strRef>
              <c:f>'Pivot Table'!$C$3:$C$4</c:f>
              <c:strCache>
                <c:ptCount val="1"/>
                <c:pt idx="0">
                  <c:v>Delayed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8B87-4B1D-806A-29A148ADB3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87-4B1D-806A-29A148ADB3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8B87-4B1D-806A-29A148ADB34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8B87-4B1D-806A-29A148ADB34B}"/>
              </c:ext>
            </c:extLst>
          </c:dPt>
          <c:dLbls>
            <c:dLbl>
              <c:idx val="0"/>
              <c:layout/>
              <c:tx>
                <c:rich>
                  <a:bodyPr/>
                  <a:lstStyle/>
                  <a:p>
                    <a:fld id="{0556FC58-0942-41BF-A83A-E01A1A23DC95}" type="PERCENTAGE">
                      <a:rPr lang="en-US" baseline="0"/>
                      <a:pPr/>
                      <a:t>[PERCENTAGE]</a:t>
                    </a:fld>
                    <a:endParaRPr lang="en-US"/>
                  </a:p>
                </c:rich>
              </c:tx>
              <c:showLegendKey val="0"/>
              <c:showVal val="1"/>
              <c:showCatName val="0"/>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4-8B87-4B1D-806A-29A148ADB34B}"/>
                </c:ext>
              </c:extLst>
            </c:dLbl>
            <c:dLbl>
              <c:idx val="1"/>
              <c:layout/>
              <c:tx>
                <c:rich>
                  <a:bodyPr/>
                  <a:lstStyle/>
                  <a:p>
                    <a:fld id="{26927710-7B6C-4E3A-A75F-C621C9A13740}" type="PERCENTAGE">
                      <a:rPr lang="en-US" baseline="0"/>
                      <a:pPr/>
                      <a:t>[PERCENTAGE]</a:t>
                    </a:fld>
                    <a:endParaRPr lang="en-US"/>
                  </a:p>
                </c:rich>
              </c:tx>
              <c:showLegendKey val="0"/>
              <c:showVal val="1"/>
              <c:showCatName val="0"/>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8B87-4B1D-806A-29A148ADB34B}"/>
                </c:ext>
              </c:extLst>
            </c:dLbl>
            <c:dLbl>
              <c:idx val="2"/>
              <c:layout/>
              <c:tx>
                <c:rich>
                  <a:bodyPr/>
                  <a:lstStyle/>
                  <a:p>
                    <a:fld id="{AA0B6BD4-C111-47A1-A9E9-F6999E374DD6}" type="PERCENTAGE">
                      <a:rPr lang="en-US" baseline="0"/>
                      <a:pPr/>
                      <a:t>[PERCENTAGE]</a:t>
                    </a:fld>
                    <a:endParaRPr lang="en-US"/>
                  </a:p>
                </c:rich>
              </c:tx>
              <c:showLegendKey val="0"/>
              <c:showVal val="1"/>
              <c:showCatName val="0"/>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6-8B87-4B1D-806A-29A148ADB34B}"/>
                </c:ext>
              </c:extLst>
            </c:dLbl>
            <c:dLbl>
              <c:idx val="3"/>
              <c:layout/>
              <c:tx>
                <c:rich>
                  <a:bodyPr/>
                  <a:lstStyle/>
                  <a:p>
                    <a:r>
                      <a:rPr lang="en-US" baseline="0"/>
                      <a:t> </a:t>
                    </a:r>
                    <a:fld id="{455A5DE5-74B4-4076-9E98-BDEC5246738F}"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5-8B87-4B1D-806A-29A148ADB3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Table'!$B$5:$B$9</c:f>
              <c:strCache>
                <c:ptCount val="4"/>
                <c:pt idx="0">
                  <c:v>East</c:v>
                </c:pt>
                <c:pt idx="1">
                  <c:v>North</c:v>
                </c:pt>
                <c:pt idx="2">
                  <c:v>South</c:v>
                </c:pt>
                <c:pt idx="3">
                  <c:v>West</c:v>
                </c:pt>
              </c:strCache>
            </c:strRef>
          </c:cat>
          <c:val>
            <c:numRef>
              <c:f>'Pivot Table'!$C$5:$C$9</c:f>
              <c:numCache>
                <c:formatCode>General</c:formatCode>
                <c:ptCount val="4"/>
                <c:pt idx="0">
                  <c:v>6</c:v>
                </c:pt>
                <c:pt idx="1">
                  <c:v>13</c:v>
                </c:pt>
                <c:pt idx="2">
                  <c:v>12</c:v>
                </c:pt>
                <c:pt idx="3">
                  <c:v>10</c:v>
                </c:pt>
              </c:numCache>
            </c:numRef>
          </c:val>
          <c:extLst>
            <c:ext xmlns:c16="http://schemas.microsoft.com/office/drawing/2014/chart" uri="{C3380CC4-5D6E-409C-BE32-E72D297353CC}">
              <c16:uniqueId val="{00000000-8B87-4B1D-806A-29A148ADB34B}"/>
            </c:ext>
          </c:extLst>
        </c:ser>
        <c:ser>
          <c:idx val="1"/>
          <c:order val="1"/>
          <c:tx>
            <c:strRef>
              <c:f>'Pivot Table'!$D$3:$D$4</c:f>
              <c:strCache>
                <c:ptCount val="1"/>
                <c:pt idx="0">
                  <c:v>On-Time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Table'!$B$5:$B$9</c:f>
              <c:strCache>
                <c:ptCount val="4"/>
                <c:pt idx="0">
                  <c:v>East</c:v>
                </c:pt>
                <c:pt idx="1">
                  <c:v>North</c:v>
                </c:pt>
                <c:pt idx="2">
                  <c:v>South</c:v>
                </c:pt>
                <c:pt idx="3">
                  <c:v>West</c:v>
                </c:pt>
              </c:strCache>
            </c:strRef>
          </c:cat>
          <c:val>
            <c:numRef>
              <c:f>'Pivot Table'!$D$5:$D$9</c:f>
              <c:numCache>
                <c:formatCode>General</c:formatCode>
                <c:ptCount val="4"/>
                <c:pt idx="0">
                  <c:v>18</c:v>
                </c:pt>
                <c:pt idx="1">
                  <c:v>14</c:v>
                </c:pt>
                <c:pt idx="2">
                  <c:v>17</c:v>
                </c:pt>
                <c:pt idx="3">
                  <c:v>10</c:v>
                </c:pt>
              </c:numCache>
            </c:numRef>
          </c:val>
          <c:extLst>
            <c:ext xmlns:c16="http://schemas.microsoft.com/office/drawing/2014/chart" uri="{C3380CC4-5D6E-409C-BE32-E72D297353CC}">
              <c16:uniqueId val="{00000007-8B87-4B1D-806A-29A148ADB34B}"/>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57150</xdr:colOff>
      <xdr:row>2</xdr:row>
      <xdr:rowOff>114300</xdr:rowOff>
    </xdr:from>
    <xdr:to>
      <xdr:col>10</xdr:col>
      <xdr:colOff>4762</xdr:colOff>
      <xdr:row>12</xdr:row>
      <xdr:rowOff>104775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342899</xdr:colOff>
      <xdr:row>2</xdr:row>
      <xdr:rowOff>95249</xdr:rowOff>
    </xdr:from>
    <xdr:to>
      <xdr:col>16</xdr:col>
      <xdr:colOff>47624</xdr:colOff>
      <xdr:row>12</xdr:row>
      <xdr:rowOff>161924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333375</xdr:colOff>
      <xdr:row>15</xdr:row>
      <xdr:rowOff>38100</xdr:rowOff>
    </xdr:from>
    <xdr:to>
      <xdr:col>16</xdr:col>
      <xdr:colOff>171451</xdr:colOff>
      <xdr:row>29</xdr:row>
      <xdr:rowOff>114300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66675</xdr:colOff>
      <xdr:row>15</xdr:row>
      <xdr:rowOff>38100</xdr:rowOff>
    </xdr:from>
    <xdr:to>
      <xdr:col>10</xdr:col>
      <xdr:colOff>9525</xdr:colOff>
      <xdr:row>29</xdr:row>
      <xdr:rowOff>114300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19049</xdr:rowOff>
    </xdr:from>
    <xdr:to>
      <xdr:col>3</xdr:col>
      <xdr:colOff>38100</xdr:colOff>
      <xdr:row>29</xdr:row>
      <xdr:rowOff>133350</xdr:rowOff>
    </xdr:to>
    <xdr:sp macro="" textlink="">
      <xdr:nvSpPr>
        <xdr:cNvPr id="16" name="TextBox 15"/>
        <xdr:cNvSpPr txBox="1"/>
      </xdr:nvSpPr>
      <xdr:spPr>
        <a:xfrm>
          <a:off x="0" y="19049"/>
          <a:ext cx="1866900" cy="5810251"/>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0</xdr:col>
      <xdr:colOff>0</xdr:colOff>
      <xdr:row>22</xdr:row>
      <xdr:rowOff>95251</xdr:rowOff>
    </xdr:from>
    <xdr:to>
      <xdr:col>3</xdr:col>
      <xdr:colOff>0</xdr:colOff>
      <xdr:row>29</xdr:row>
      <xdr:rowOff>1</xdr:rowOff>
    </xdr:to>
    <mc:AlternateContent xmlns:mc="http://schemas.openxmlformats.org/markup-compatibility/2006">
      <mc:Choice xmlns:a14="http://schemas.microsoft.com/office/drawing/2010/main" Requires="a14">
        <xdr:graphicFrame macro="">
          <xdr:nvGraphicFramePr>
            <xdr:cNvPr id="14" name="Courier"/>
            <xdr:cNvGraphicFramePr/>
          </xdr:nvGraphicFramePr>
          <xdr:xfrm>
            <a:off x="0" y="0"/>
            <a:ext cx="0" cy="0"/>
          </xdr:xfrm>
          <a:graphic>
            <a:graphicData uri="http://schemas.microsoft.com/office/drawing/2010/slicer">
              <sle:slicer xmlns:sle="http://schemas.microsoft.com/office/drawing/2010/slicer" name="Courier"/>
            </a:graphicData>
          </a:graphic>
        </xdr:graphicFrame>
      </mc:Choice>
      <mc:Fallback>
        <xdr:sp macro="" textlink="">
          <xdr:nvSpPr>
            <xdr:cNvPr id="0" name=""/>
            <xdr:cNvSpPr>
              <a:spLocks noTextEdit="1"/>
            </xdr:cNvSpPr>
          </xdr:nvSpPr>
          <xdr:spPr>
            <a:xfrm>
              <a:off x="0" y="4457701"/>
              <a:ext cx="182880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66675</xdr:rowOff>
    </xdr:from>
    <xdr:to>
      <xdr:col>3</xdr:col>
      <xdr:colOff>0</xdr:colOff>
      <xdr:row>20</xdr:row>
      <xdr:rowOff>152400</xdr:rowOff>
    </xdr:to>
    <mc:AlternateContent xmlns:mc="http://schemas.openxmlformats.org/markup-compatibility/2006">
      <mc:Choice xmlns:a14="http://schemas.microsoft.com/office/drawing/2010/main" Requires="a14">
        <xdr:graphicFrame macro="">
          <xdr:nvGraphicFramePr>
            <xdr:cNvPr id="1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714625"/>
              <a:ext cx="18288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5</xdr:row>
      <xdr:rowOff>76200</xdr:rowOff>
    </xdr:from>
    <xdr:to>
      <xdr:col>3</xdr:col>
      <xdr:colOff>9525</xdr:colOff>
      <xdr:row>11</xdr:row>
      <xdr:rowOff>114300</xdr:rowOff>
    </xdr:to>
    <mc:AlternateContent xmlns:mc="http://schemas.openxmlformats.org/markup-compatibility/2006">
      <mc:Choice xmlns:a14="http://schemas.microsoft.com/office/drawing/2010/main" Requires="a14">
        <xdr:graphicFrame macro="">
          <xdr:nvGraphicFramePr>
            <xdr:cNvPr id="15"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9525" y="1200150"/>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28575</xdr:colOff>
      <xdr:row>0</xdr:row>
      <xdr:rowOff>28575</xdr:rowOff>
    </xdr:from>
    <xdr:to>
      <xdr:col>16</xdr:col>
      <xdr:colOff>95250</xdr:colOff>
      <xdr:row>1</xdr:row>
      <xdr:rowOff>333375</xdr:rowOff>
    </xdr:to>
    <xdr:sp macro="" textlink="">
      <xdr:nvSpPr>
        <xdr:cNvPr id="17" name="TextBox 16"/>
        <xdr:cNvSpPr txBox="1"/>
      </xdr:nvSpPr>
      <xdr:spPr>
        <a:xfrm>
          <a:off x="1857375" y="28575"/>
          <a:ext cx="7991475" cy="4953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		</a:t>
          </a:r>
          <a:r>
            <a:rPr lang="en-US" sz="2000" b="0" i="0" u="none" strike="noStrike">
              <a:solidFill>
                <a:schemeClr val="dk1"/>
              </a:solidFill>
              <a:effectLst/>
              <a:latin typeface="+mn-lt"/>
              <a:ea typeface="+mn-ea"/>
              <a:cs typeface="+mn-cs"/>
            </a:rPr>
            <a:t>DELIVERY PERFORMANCE DASHBOARD APRIL 2025</a:t>
          </a:r>
          <a:r>
            <a:rPr lang="en-US" sz="2000"/>
            <a:t> </a:t>
          </a:r>
        </a:p>
      </xdr:txBody>
    </xdr:sp>
    <xdr:clientData/>
  </xdr:twoCellAnchor>
  <xdr:twoCellAnchor>
    <xdr:from>
      <xdr:col>0</xdr:col>
      <xdr:colOff>0</xdr:colOff>
      <xdr:row>0</xdr:row>
      <xdr:rowOff>38100</xdr:rowOff>
    </xdr:from>
    <xdr:to>
      <xdr:col>2</xdr:col>
      <xdr:colOff>590550</xdr:colOff>
      <xdr:row>4</xdr:row>
      <xdr:rowOff>28575</xdr:rowOff>
    </xdr:to>
    <xdr:sp macro="" textlink="">
      <xdr:nvSpPr>
        <xdr:cNvPr id="18" name="TextBox 17"/>
        <xdr:cNvSpPr txBox="1"/>
      </xdr:nvSpPr>
      <xdr:spPr>
        <a:xfrm>
          <a:off x="0" y="38100"/>
          <a:ext cx="1809750" cy="923925"/>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This dashboard analyzes</a:t>
          </a:r>
          <a:r>
            <a:rPr lang="en-US" sz="1200" baseline="0">
              <a:solidFill>
                <a:schemeClr val="bg1"/>
              </a:solidFill>
            </a:rPr>
            <a:t> delivery efficiency and delays across regions and couriers</a:t>
          </a:r>
          <a:endParaRPr lang="en-US" sz="12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171450</xdr:colOff>
      <xdr:row>0</xdr:row>
      <xdr:rowOff>95250</xdr:rowOff>
    </xdr:from>
    <xdr:to>
      <xdr:col>13</xdr:col>
      <xdr:colOff>119062</xdr:colOff>
      <xdr:row>10</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171450</xdr:colOff>
      <xdr:row>10</xdr:row>
      <xdr:rowOff>142876</xdr:rowOff>
    </xdr:from>
    <xdr:to>
      <xdr:col>13</xdr:col>
      <xdr:colOff>152400</xdr:colOff>
      <xdr:row>20</xdr:row>
      <xdr:rowOff>142876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200025</xdr:colOff>
      <xdr:row>21</xdr:row>
      <xdr:rowOff>114299</xdr:rowOff>
    </xdr:from>
    <xdr:to>
      <xdr:col>13</xdr:col>
      <xdr:colOff>171449</xdr:colOff>
      <xdr:row>34</xdr:row>
      <xdr:rowOff>142874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257175</xdr:colOff>
      <xdr:row>26</xdr:row>
      <xdr:rowOff>76200</xdr:rowOff>
    </xdr:from>
    <xdr:to>
      <xdr:col>4</xdr:col>
      <xdr:colOff>400050</xdr:colOff>
      <xdr:row>40</xdr:row>
      <xdr:rowOff>152400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endbox Tech" refreshedDate="45780.601142245374" createdVersion="6" refreshedVersion="6" minRefreshableVersion="3" recordCount="100">
  <cacheSource type="worksheet">
    <worksheetSource ref="A1:J101" sheet="Dataset"/>
  </cacheSource>
  <cacheFields count="10">
    <cacheField name="Delivery ID" numFmtId="0">
      <sharedItems/>
    </cacheField>
    <cacheField name="Region" numFmtId="0">
      <sharedItems count="4">
        <s v="North"/>
        <s v="East"/>
        <s v="South"/>
        <s v="West"/>
      </sharedItems>
    </cacheField>
    <cacheField name="Courier" numFmtId="0">
      <sharedItems count="3">
        <s v="Courier B"/>
        <s v="Courier C"/>
        <s v="Courier A"/>
      </sharedItems>
    </cacheField>
    <cacheField name="Scheduled Delivery Date" numFmtId="164">
      <sharedItems containsSemiMixedTypes="0" containsNonDate="0" containsDate="1" containsString="0" minDate="2025-04-01T00:00:00" maxDate="2025-05-01T00:00:00"/>
    </cacheField>
    <cacheField name="Actual Delivery Date" numFmtId="164">
      <sharedItems containsSemiMixedTypes="0" containsNonDate="0" containsDate="1" containsString="0" minDate="2025-04-01T00:00:00" maxDate="2025-05-02T00:00:00"/>
    </cacheField>
    <cacheField name="Status" numFmtId="0">
      <sharedItems count="2">
        <s v="On-Time"/>
        <s v="Delayed"/>
      </sharedItems>
    </cacheField>
    <cacheField name="Delivery Time (hrs)" numFmtId="0">
      <sharedItems containsSemiMixedTypes="0" containsString="0" containsNumber="1" minValue="1.4" maxValue="47.9"/>
    </cacheField>
    <cacheField name="Delay (Days)" numFmtId="0">
      <sharedItems containsSemiMixedTypes="0" containsString="0" containsNumber="1" containsInteger="1" minValue="-1" maxValue="3" count="5">
        <n v="0"/>
        <n v="1"/>
        <n v="2"/>
        <n v="3"/>
        <n v="-1"/>
      </sharedItems>
    </cacheField>
    <cacheField name="On-Time Flag (Yes/No)" numFmtId="0">
      <sharedItems count="2">
        <s v="Yes"/>
        <s v="No"/>
      </sharedItems>
    </cacheField>
    <cacheField name="Month" numFmtId="0">
      <sharedItems count="1">
        <s v="Apr"/>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s v="DLV1000"/>
    <x v="0"/>
    <x v="0"/>
    <d v="2025-04-28T00:00:00"/>
    <d v="2025-04-28T00:00:00"/>
    <x v="0"/>
    <n v="23.9"/>
    <x v="0"/>
    <x v="0"/>
    <x v="0"/>
  </r>
  <r>
    <s v="DLV1001"/>
    <x v="0"/>
    <x v="1"/>
    <d v="2025-04-11T00:00:00"/>
    <d v="2025-04-12T00:00:00"/>
    <x v="1"/>
    <n v="14.9"/>
    <x v="1"/>
    <x v="1"/>
    <x v="0"/>
  </r>
  <r>
    <s v="DLV1002"/>
    <x v="1"/>
    <x v="0"/>
    <d v="2025-04-03T00:00:00"/>
    <d v="2025-04-03T00:00:00"/>
    <x v="0"/>
    <n v="28.2"/>
    <x v="0"/>
    <x v="0"/>
    <x v="0"/>
  </r>
  <r>
    <s v="DLV1003"/>
    <x v="2"/>
    <x v="1"/>
    <d v="2025-04-17T00:00:00"/>
    <d v="2025-04-17T00:00:00"/>
    <x v="0"/>
    <n v="3.9"/>
    <x v="0"/>
    <x v="0"/>
    <x v="0"/>
  </r>
  <r>
    <s v="DLV1004"/>
    <x v="2"/>
    <x v="0"/>
    <d v="2025-04-08T00:00:00"/>
    <d v="2025-04-10T00:00:00"/>
    <x v="1"/>
    <n v="3.7"/>
    <x v="2"/>
    <x v="1"/>
    <x v="0"/>
  </r>
  <r>
    <s v="DLV1005"/>
    <x v="2"/>
    <x v="1"/>
    <d v="2025-04-09T00:00:00"/>
    <d v="2025-04-09T00:00:00"/>
    <x v="0"/>
    <n v="23.4"/>
    <x v="0"/>
    <x v="0"/>
    <x v="0"/>
  </r>
  <r>
    <s v="DLV1006"/>
    <x v="0"/>
    <x v="2"/>
    <d v="2025-04-22T00:00:00"/>
    <d v="2025-04-25T00:00:00"/>
    <x v="1"/>
    <n v="26"/>
    <x v="3"/>
    <x v="1"/>
    <x v="0"/>
  </r>
  <r>
    <s v="DLV1007"/>
    <x v="0"/>
    <x v="1"/>
    <d v="2025-04-16T00:00:00"/>
    <d v="2025-04-16T00:00:00"/>
    <x v="0"/>
    <n v="46.2"/>
    <x v="0"/>
    <x v="0"/>
    <x v="0"/>
  </r>
  <r>
    <s v="DLV1008"/>
    <x v="3"/>
    <x v="1"/>
    <d v="2025-04-07T00:00:00"/>
    <d v="2025-04-07T00:00:00"/>
    <x v="0"/>
    <n v="41"/>
    <x v="0"/>
    <x v="0"/>
    <x v="0"/>
  </r>
  <r>
    <s v="DLV1009"/>
    <x v="0"/>
    <x v="2"/>
    <d v="2025-04-18T00:00:00"/>
    <d v="2025-04-18T00:00:00"/>
    <x v="0"/>
    <n v="29"/>
    <x v="0"/>
    <x v="0"/>
    <x v="0"/>
  </r>
  <r>
    <s v="DLV1010"/>
    <x v="0"/>
    <x v="1"/>
    <d v="2025-04-05T00:00:00"/>
    <d v="2025-04-05T00:00:00"/>
    <x v="0"/>
    <n v="41.5"/>
    <x v="0"/>
    <x v="0"/>
    <x v="0"/>
  </r>
  <r>
    <s v="DLV1011"/>
    <x v="0"/>
    <x v="1"/>
    <d v="2025-04-24T00:00:00"/>
    <d v="2025-04-23T00:00:00"/>
    <x v="0"/>
    <n v="6.6"/>
    <x v="4"/>
    <x v="0"/>
    <x v="0"/>
  </r>
  <r>
    <s v="DLV1012"/>
    <x v="2"/>
    <x v="0"/>
    <d v="2025-04-30T00:00:00"/>
    <d v="2025-04-30T00:00:00"/>
    <x v="0"/>
    <n v="12.6"/>
    <x v="0"/>
    <x v="0"/>
    <x v="0"/>
  </r>
  <r>
    <s v="DLV1013"/>
    <x v="2"/>
    <x v="1"/>
    <d v="2025-04-29T00:00:00"/>
    <d v="2025-04-29T00:00:00"/>
    <x v="0"/>
    <n v="2.9"/>
    <x v="0"/>
    <x v="0"/>
    <x v="0"/>
  </r>
  <r>
    <s v="DLV1014"/>
    <x v="0"/>
    <x v="0"/>
    <d v="2025-04-19T00:00:00"/>
    <d v="2025-04-19T00:00:00"/>
    <x v="0"/>
    <n v="20.7"/>
    <x v="0"/>
    <x v="0"/>
    <x v="0"/>
  </r>
  <r>
    <s v="DLV1015"/>
    <x v="2"/>
    <x v="2"/>
    <d v="2025-04-19T00:00:00"/>
    <d v="2025-04-19T00:00:00"/>
    <x v="0"/>
    <n v="27.6"/>
    <x v="0"/>
    <x v="0"/>
    <x v="0"/>
  </r>
  <r>
    <s v="DLV1016"/>
    <x v="3"/>
    <x v="0"/>
    <d v="2025-04-16T00:00:00"/>
    <d v="2025-04-18T00:00:00"/>
    <x v="1"/>
    <n v="44.9"/>
    <x v="2"/>
    <x v="1"/>
    <x v="0"/>
  </r>
  <r>
    <s v="DLV1017"/>
    <x v="2"/>
    <x v="0"/>
    <d v="2025-04-08T00:00:00"/>
    <d v="2025-04-09T00:00:00"/>
    <x v="1"/>
    <n v="32.5"/>
    <x v="1"/>
    <x v="1"/>
    <x v="0"/>
  </r>
  <r>
    <s v="DLV1018"/>
    <x v="3"/>
    <x v="2"/>
    <d v="2025-04-26T00:00:00"/>
    <d v="2025-04-28T00:00:00"/>
    <x v="1"/>
    <n v="12.2"/>
    <x v="2"/>
    <x v="1"/>
    <x v="0"/>
  </r>
  <r>
    <s v="DLV1019"/>
    <x v="1"/>
    <x v="0"/>
    <d v="2025-04-16T00:00:00"/>
    <d v="2025-04-15T00:00:00"/>
    <x v="0"/>
    <n v="7.2"/>
    <x v="4"/>
    <x v="0"/>
    <x v="0"/>
  </r>
  <r>
    <s v="DLV1020"/>
    <x v="0"/>
    <x v="2"/>
    <d v="2025-04-26T00:00:00"/>
    <d v="2025-04-26T00:00:00"/>
    <x v="0"/>
    <n v="15.1"/>
    <x v="0"/>
    <x v="0"/>
    <x v="0"/>
  </r>
  <r>
    <s v="DLV1021"/>
    <x v="2"/>
    <x v="1"/>
    <d v="2025-04-14T00:00:00"/>
    <d v="2025-04-16T00:00:00"/>
    <x v="1"/>
    <n v="44.7"/>
    <x v="2"/>
    <x v="1"/>
    <x v="0"/>
  </r>
  <r>
    <s v="DLV1022"/>
    <x v="3"/>
    <x v="1"/>
    <d v="2025-04-07T00:00:00"/>
    <d v="2025-04-07T00:00:00"/>
    <x v="0"/>
    <n v="1.4"/>
    <x v="0"/>
    <x v="0"/>
    <x v="0"/>
  </r>
  <r>
    <s v="DLV1023"/>
    <x v="1"/>
    <x v="0"/>
    <d v="2025-04-04T00:00:00"/>
    <d v="2025-04-04T00:00:00"/>
    <x v="0"/>
    <n v="47.9"/>
    <x v="0"/>
    <x v="0"/>
    <x v="0"/>
  </r>
  <r>
    <s v="DLV1024"/>
    <x v="1"/>
    <x v="1"/>
    <d v="2025-04-04T00:00:00"/>
    <d v="2025-04-04T00:00:00"/>
    <x v="0"/>
    <n v="4.4000000000000004"/>
    <x v="0"/>
    <x v="0"/>
    <x v="0"/>
  </r>
  <r>
    <s v="DLV1025"/>
    <x v="2"/>
    <x v="2"/>
    <d v="2025-04-22T00:00:00"/>
    <d v="2025-04-23T00:00:00"/>
    <x v="1"/>
    <n v="24.8"/>
    <x v="1"/>
    <x v="1"/>
    <x v="0"/>
  </r>
  <r>
    <s v="DLV1026"/>
    <x v="2"/>
    <x v="1"/>
    <d v="2025-04-14T00:00:00"/>
    <d v="2025-04-15T00:00:00"/>
    <x v="1"/>
    <n v="44.9"/>
    <x v="1"/>
    <x v="1"/>
    <x v="0"/>
  </r>
  <r>
    <s v="DLV1027"/>
    <x v="1"/>
    <x v="2"/>
    <d v="2025-04-12T00:00:00"/>
    <d v="2025-04-12T00:00:00"/>
    <x v="0"/>
    <n v="42.3"/>
    <x v="0"/>
    <x v="0"/>
    <x v="0"/>
  </r>
  <r>
    <s v="DLV1028"/>
    <x v="0"/>
    <x v="1"/>
    <d v="2025-04-14T00:00:00"/>
    <d v="2025-04-16T00:00:00"/>
    <x v="1"/>
    <n v="14.4"/>
    <x v="2"/>
    <x v="1"/>
    <x v="0"/>
  </r>
  <r>
    <s v="DLV1029"/>
    <x v="0"/>
    <x v="0"/>
    <d v="2025-04-14T00:00:00"/>
    <d v="2025-04-13T00:00:00"/>
    <x v="0"/>
    <n v="40.200000000000003"/>
    <x v="4"/>
    <x v="0"/>
    <x v="0"/>
  </r>
  <r>
    <s v="DLV1030"/>
    <x v="3"/>
    <x v="1"/>
    <d v="2025-04-15T00:00:00"/>
    <d v="2025-04-15T00:00:00"/>
    <x v="0"/>
    <n v="15.2"/>
    <x v="0"/>
    <x v="0"/>
    <x v="0"/>
  </r>
  <r>
    <s v="DLV1031"/>
    <x v="0"/>
    <x v="1"/>
    <d v="2025-04-28T00:00:00"/>
    <d v="2025-05-01T00:00:00"/>
    <x v="1"/>
    <n v="31.7"/>
    <x v="3"/>
    <x v="1"/>
    <x v="0"/>
  </r>
  <r>
    <s v="DLV1032"/>
    <x v="1"/>
    <x v="1"/>
    <d v="2025-04-24T00:00:00"/>
    <d v="2025-04-24T00:00:00"/>
    <x v="0"/>
    <n v="32.4"/>
    <x v="0"/>
    <x v="0"/>
    <x v="0"/>
  </r>
  <r>
    <s v="DLV1033"/>
    <x v="1"/>
    <x v="2"/>
    <d v="2025-04-02T00:00:00"/>
    <d v="2025-04-02T00:00:00"/>
    <x v="0"/>
    <n v="15.1"/>
    <x v="0"/>
    <x v="0"/>
    <x v="0"/>
  </r>
  <r>
    <s v="DLV1034"/>
    <x v="1"/>
    <x v="2"/>
    <d v="2025-04-22T00:00:00"/>
    <d v="2025-04-22T00:00:00"/>
    <x v="0"/>
    <n v="5.9"/>
    <x v="0"/>
    <x v="0"/>
    <x v="0"/>
  </r>
  <r>
    <s v="DLV1035"/>
    <x v="0"/>
    <x v="0"/>
    <d v="2025-04-21T00:00:00"/>
    <d v="2025-04-22T00:00:00"/>
    <x v="1"/>
    <n v="13.4"/>
    <x v="1"/>
    <x v="1"/>
    <x v="0"/>
  </r>
  <r>
    <s v="DLV1036"/>
    <x v="3"/>
    <x v="2"/>
    <d v="2025-04-21T00:00:00"/>
    <d v="2025-04-21T00:00:00"/>
    <x v="0"/>
    <n v="35.9"/>
    <x v="0"/>
    <x v="0"/>
    <x v="0"/>
  </r>
  <r>
    <s v="DLV1037"/>
    <x v="0"/>
    <x v="1"/>
    <d v="2025-04-04T00:00:00"/>
    <d v="2025-04-05T00:00:00"/>
    <x v="1"/>
    <n v="13.8"/>
    <x v="1"/>
    <x v="1"/>
    <x v="0"/>
  </r>
  <r>
    <s v="DLV1038"/>
    <x v="3"/>
    <x v="1"/>
    <d v="2025-04-02T00:00:00"/>
    <d v="2025-04-02T00:00:00"/>
    <x v="0"/>
    <n v="10.9"/>
    <x v="0"/>
    <x v="0"/>
    <x v="0"/>
  </r>
  <r>
    <s v="DLV1039"/>
    <x v="0"/>
    <x v="2"/>
    <d v="2025-04-13T00:00:00"/>
    <d v="2025-04-15T00:00:00"/>
    <x v="1"/>
    <n v="10.6"/>
    <x v="2"/>
    <x v="1"/>
    <x v="0"/>
  </r>
  <r>
    <s v="DLV1040"/>
    <x v="1"/>
    <x v="1"/>
    <d v="2025-04-24T00:00:00"/>
    <d v="2025-04-24T00:00:00"/>
    <x v="0"/>
    <n v="41.1"/>
    <x v="0"/>
    <x v="0"/>
    <x v="0"/>
  </r>
  <r>
    <s v="DLV1041"/>
    <x v="1"/>
    <x v="0"/>
    <d v="2025-04-11T00:00:00"/>
    <d v="2025-04-11T00:00:00"/>
    <x v="0"/>
    <n v="24"/>
    <x v="0"/>
    <x v="0"/>
    <x v="0"/>
  </r>
  <r>
    <s v="DLV1042"/>
    <x v="2"/>
    <x v="0"/>
    <d v="2025-04-26T00:00:00"/>
    <d v="2025-04-29T00:00:00"/>
    <x v="1"/>
    <n v="3.4"/>
    <x v="3"/>
    <x v="1"/>
    <x v="0"/>
  </r>
  <r>
    <s v="DLV1043"/>
    <x v="0"/>
    <x v="2"/>
    <d v="2025-04-28T00:00:00"/>
    <d v="2025-04-28T00:00:00"/>
    <x v="0"/>
    <n v="20.9"/>
    <x v="0"/>
    <x v="0"/>
    <x v="0"/>
  </r>
  <r>
    <s v="DLV1044"/>
    <x v="0"/>
    <x v="2"/>
    <d v="2025-04-04T00:00:00"/>
    <d v="2025-04-06T00:00:00"/>
    <x v="1"/>
    <n v="3.1"/>
    <x v="2"/>
    <x v="1"/>
    <x v="0"/>
  </r>
  <r>
    <s v="DLV1045"/>
    <x v="2"/>
    <x v="0"/>
    <d v="2025-04-08T00:00:00"/>
    <d v="2025-04-10T00:00:00"/>
    <x v="1"/>
    <n v="37.200000000000003"/>
    <x v="2"/>
    <x v="1"/>
    <x v="0"/>
  </r>
  <r>
    <s v="DLV1046"/>
    <x v="1"/>
    <x v="0"/>
    <d v="2025-04-07T00:00:00"/>
    <d v="2025-04-07T00:00:00"/>
    <x v="0"/>
    <n v="47.1"/>
    <x v="0"/>
    <x v="0"/>
    <x v="0"/>
  </r>
  <r>
    <s v="DLV1047"/>
    <x v="0"/>
    <x v="2"/>
    <d v="2025-04-07T00:00:00"/>
    <d v="2025-04-08T00:00:00"/>
    <x v="1"/>
    <n v="35.799999999999997"/>
    <x v="1"/>
    <x v="1"/>
    <x v="0"/>
  </r>
  <r>
    <s v="DLV1048"/>
    <x v="2"/>
    <x v="2"/>
    <d v="2025-04-18T00:00:00"/>
    <d v="2025-04-18T00:00:00"/>
    <x v="0"/>
    <n v="34.200000000000003"/>
    <x v="0"/>
    <x v="0"/>
    <x v="0"/>
  </r>
  <r>
    <s v="DLV1049"/>
    <x v="0"/>
    <x v="2"/>
    <d v="2025-04-15T00:00:00"/>
    <d v="2025-04-15T00:00:00"/>
    <x v="0"/>
    <n v="1.5"/>
    <x v="0"/>
    <x v="0"/>
    <x v="0"/>
  </r>
  <r>
    <s v="DLV1050"/>
    <x v="3"/>
    <x v="1"/>
    <d v="2025-04-05T00:00:00"/>
    <d v="2025-04-05T00:00:00"/>
    <x v="0"/>
    <n v="45.4"/>
    <x v="0"/>
    <x v="0"/>
    <x v="0"/>
  </r>
  <r>
    <s v="DLV1051"/>
    <x v="1"/>
    <x v="2"/>
    <d v="2025-04-14T00:00:00"/>
    <d v="2025-04-14T00:00:00"/>
    <x v="0"/>
    <n v="43.5"/>
    <x v="0"/>
    <x v="0"/>
    <x v="0"/>
  </r>
  <r>
    <s v="DLV1052"/>
    <x v="3"/>
    <x v="2"/>
    <d v="2025-04-06T00:00:00"/>
    <d v="2025-04-06T00:00:00"/>
    <x v="0"/>
    <n v="2.7"/>
    <x v="0"/>
    <x v="0"/>
    <x v="0"/>
  </r>
  <r>
    <s v="DLV1053"/>
    <x v="1"/>
    <x v="1"/>
    <d v="2025-04-09T00:00:00"/>
    <d v="2025-04-11T00:00:00"/>
    <x v="1"/>
    <n v="28.4"/>
    <x v="2"/>
    <x v="1"/>
    <x v="0"/>
  </r>
  <r>
    <s v="DLV1054"/>
    <x v="2"/>
    <x v="0"/>
    <d v="2025-04-15T00:00:00"/>
    <d v="2025-04-16T00:00:00"/>
    <x v="1"/>
    <n v="21.2"/>
    <x v="1"/>
    <x v="1"/>
    <x v="0"/>
  </r>
  <r>
    <s v="DLV1055"/>
    <x v="1"/>
    <x v="2"/>
    <d v="2025-04-08T00:00:00"/>
    <d v="2025-04-08T00:00:00"/>
    <x v="0"/>
    <n v="15.5"/>
    <x v="0"/>
    <x v="0"/>
    <x v="0"/>
  </r>
  <r>
    <s v="DLV1056"/>
    <x v="1"/>
    <x v="1"/>
    <d v="2025-04-28T00:00:00"/>
    <d v="2025-05-01T00:00:00"/>
    <x v="1"/>
    <n v="46.7"/>
    <x v="3"/>
    <x v="1"/>
    <x v="0"/>
  </r>
  <r>
    <s v="DLV1057"/>
    <x v="2"/>
    <x v="2"/>
    <d v="2025-04-30T00:00:00"/>
    <d v="2025-04-30T00:00:00"/>
    <x v="0"/>
    <n v="43.2"/>
    <x v="0"/>
    <x v="0"/>
    <x v="0"/>
  </r>
  <r>
    <s v="DLV1058"/>
    <x v="1"/>
    <x v="2"/>
    <d v="2025-04-03T00:00:00"/>
    <d v="2025-04-04T00:00:00"/>
    <x v="1"/>
    <n v="33.1"/>
    <x v="1"/>
    <x v="1"/>
    <x v="0"/>
  </r>
  <r>
    <s v="DLV1059"/>
    <x v="0"/>
    <x v="1"/>
    <d v="2025-04-15T00:00:00"/>
    <d v="2025-04-15T00:00:00"/>
    <x v="0"/>
    <n v="5.8"/>
    <x v="0"/>
    <x v="0"/>
    <x v="0"/>
  </r>
  <r>
    <s v="DLV1060"/>
    <x v="2"/>
    <x v="0"/>
    <d v="2025-04-26T00:00:00"/>
    <d v="2025-04-29T00:00:00"/>
    <x v="1"/>
    <n v="27.3"/>
    <x v="3"/>
    <x v="1"/>
    <x v="0"/>
  </r>
  <r>
    <s v="DLV1061"/>
    <x v="2"/>
    <x v="1"/>
    <d v="2025-04-28T00:00:00"/>
    <d v="2025-05-01T00:00:00"/>
    <x v="1"/>
    <n v="20.100000000000001"/>
    <x v="3"/>
    <x v="1"/>
    <x v="0"/>
  </r>
  <r>
    <s v="DLV1062"/>
    <x v="2"/>
    <x v="2"/>
    <d v="2025-04-28T00:00:00"/>
    <d v="2025-04-28T00:00:00"/>
    <x v="0"/>
    <n v="36.200000000000003"/>
    <x v="0"/>
    <x v="0"/>
    <x v="0"/>
  </r>
  <r>
    <s v="DLV1063"/>
    <x v="3"/>
    <x v="0"/>
    <d v="2025-04-18T00:00:00"/>
    <d v="2025-04-19T00:00:00"/>
    <x v="1"/>
    <n v="41.6"/>
    <x v="1"/>
    <x v="1"/>
    <x v="0"/>
  </r>
  <r>
    <s v="DLV1064"/>
    <x v="3"/>
    <x v="1"/>
    <d v="2025-04-04T00:00:00"/>
    <d v="2025-04-07T00:00:00"/>
    <x v="1"/>
    <n v="39.1"/>
    <x v="3"/>
    <x v="1"/>
    <x v="0"/>
  </r>
  <r>
    <s v="DLV1065"/>
    <x v="1"/>
    <x v="1"/>
    <d v="2025-04-02T00:00:00"/>
    <d v="2025-04-01T00:00:00"/>
    <x v="0"/>
    <n v="2.2000000000000002"/>
    <x v="4"/>
    <x v="0"/>
    <x v="0"/>
  </r>
  <r>
    <s v="DLV1066"/>
    <x v="2"/>
    <x v="0"/>
    <d v="2025-04-21T00:00:00"/>
    <d v="2025-04-21T00:00:00"/>
    <x v="0"/>
    <n v="44.5"/>
    <x v="0"/>
    <x v="0"/>
    <x v="0"/>
  </r>
  <r>
    <s v="DLV1067"/>
    <x v="1"/>
    <x v="2"/>
    <d v="2025-04-18T00:00:00"/>
    <d v="2025-04-21T00:00:00"/>
    <x v="1"/>
    <n v="44.7"/>
    <x v="3"/>
    <x v="1"/>
    <x v="0"/>
  </r>
  <r>
    <s v="DLV1068"/>
    <x v="0"/>
    <x v="1"/>
    <d v="2025-04-27T00:00:00"/>
    <d v="2025-04-30T00:00:00"/>
    <x v="1"/>
    <n v="32.5"/>
    <x v="3"/>
    <x v="1"/>
    <x v="0"/>
  </r>
  <r>
    <s v="DLV1069"/>
    <x v="2"/>
    <x v="1"/>
    <d v="2025-04-01T00:00:00"/>
    <d v="2025-04-01T00:00:00"/>
    <x v="0"/>
    <n v="39.1"/>
    <x v="0"/>
    <x v="0"/>
    <x v="0"/>
  </r>
  <r>
    <s v="DLV1070"/>
    <x v="0"/>
    <x v="1"/>
    <d v="2025-04-03T00:00:00"/>
    <d v="2025-04-05T00:00:00"/>
    <x v="1"/>
    <n v="8.5"/>
    <x v="2"/>
    <x v="1"/>
    <x v="0"/>
  </r>
  <r>
    <s v="DLV1071"/>
    <x v="1"/>
    <x v="2"/>
    <d v="2025-04-30T00:00:00"/>
    <d v="2025-04-30T00:00:00"/>
    <x v="0"/>
    <n v="6.1"/>
    <x v="0"/>
    <x v="0"/>
    <x v="0"/>
  </r>
  <r>
    <s v="DLV1072"/>
    <x v="3"/>
    <x v="1"/>
    <d v="2025-04-25T00:00:00"/>
    <d v="2025-04-28T00:00:00"/>
    <x v="1"/>
    <n v="2.8"/>
    <x v="3"/>
    <x v="1"/>
    <x v="0"/>
  </r>
  <r>
    <s v="DLV1073"/>
    <x v="1"/>
    <x v="0"/>
    <d v="2025-04-28T00:00:00"/>
    <d v="2025-04-27T00:00:00"/>
    <x v="0"/>
    <n v="11.5"/>
    <x v="4"/>
    <x v="0"/>
    <x v="0"/>
  </r>
  <r>
    <s v="DLV1074"/>
    <x v="0"/>
    <x v="0"/>
    <d v="2025-04-08T00:00:00"/>
    <d v="2025-04-11T00:00:00"/>
    <x v="1"/>
    <n v="44.2"/>
    <x v="3"/>
    <x v="1"/>
    <x v="0"/>
  </r>
  <r>
    <s v="DLV1075"/>
    <x v="2"/>
    <x v="1"/>
    <d v="2025-04-06T00:00:00"/>
    <d v="2025-04-08T00:00:00"/>
    <x v="1"/>
    <n v="15.3"/>
    <x v="2"/>
    <x v="1"/>
    <x v="0"/>
  </r>
  <r>
    <s v="DLV1076"/>
    <x v="1"/>
    <x v="1"/>
    <d v="2025-04-14T00:00:00"/>
    <d v="2025-04-17T00:00:00"/>
    <x v="1"/>
    <n v="42"/>
    <x v="3"/>
    <x v="1"/>
    <x v="0"/>
  </r>
  <r>
    <s v="DLV1077"/>
    <x v="2"/>
    <x v="0"/>
    <d v="2025-04-16T00:00:00"/>
    <d v="2025-04-17T00:00:00"/>
    <x v="1"/>
    <n v="2.1"/>
    <x v="1"/>
    <x v="1"/>
    <x v="0"/>
  </r>
  <r>
    <s v="DLV1078"/>
    <x v="3"/>
    <x v="0"/>
    <d v="2025-04-16T00:00:00"/>
    <d v="2025-04-17T00:00:00"/>
    <x v="1"/>
    <n v="19.7"/>
    <x v="1"/>
    <x v="1"/>
    <x v="0"/>
  </r>
  <r>
    <s v="DLV1079"/>
    <x v="3"/>
    <x v="1"/>
    <d v="2025-04-07T00:00:00"/>
    <d v="2025-04-09T00:00:00"/>
    <x v="1"/>
    <n v="41.6"/>
    <x v="2"/>
    <x v="1"/>
    <x v="0"/>
  </r>
  <r>
    <s v="DLV1080"/>
    <x v="3"/>
    <x v="0"/>
    <d v="2025-04-28T00:00:00"/>
    <d v="2025-05-01T00:00:00"/>
    <x v="1"/>
    <n v="14.1"/>
    <x v="3"/>
    <x v="1"/>
    <x v="0"/>
  </r>
  <r>
    <s v="DLV1081"/>
    <x v="2"/>
    <x v="2"/>
    <d v="2025-04-13T00:00:00"/>
    <d v="2025-04-13T00:00:00"/>
    <x v="0"/>
    <n v="24.9"/>
    <x v="0"/>
    <x v="0"/>
    <x v="0"/>
  </r>
  <r>
    <s v="DLV1082"/>
    <x v="1"/>
    <x v="2"/>
    <d v="2025-04-29T00:00:00"/>
    <d v="2025-04-29T00:00:00"/>
    <x v="0"/>
    <n v="47.1"/>
    <x v="0"/>
    <x v="0"/>
    <x v="0"/>
  </r>
  <r>
    <s v="DLV1083"/>
    <x v="2"/>
    <x v="2"/>
    <d v="2025-04-02T00:00:00"/>
    <d v="2025-04-02T00:00:00"/>
    <x v="0"/>
    <n v="16.600000000000001"/>
    <x v="0"/>
    <x v="0"/>
    <x v="0"/>
  </r>
  <r>
    <s v="DLV1084"/>
    <x v="2"/>
    <x v="2"/>
    <d v="2025-04-06T00:00:00"/>
    <d v="2025-04-06T00:00:00"/>
    <x v="0"/>
    <n v="6.4"/>
    <x v="0"/>
    <x v="0"/>
    <x v="0"/>
  </r>
  <r>
    <s v="DLV1085"/>
    <x v="1"/>
    <x v="0"/>
    <d v="2025-04-13T00:00:00"/>
    <d v="2025-04-15T00:00:00"/>
    <x v="1"/>
    <n v="9.4"/>
    <x v="2"/>
    <x v="1"/>
    <x v="0"/>
  </r>
  <r>
    <s v="DLV1086"/>
    <x v="3"/>
    <x v="2"/>
    <d v="2025-04-01T00:00:00"/>
    <d v="2025-04-03T00:00:00"/>
    <x v="1"/>
    <n v="2.8"/>
    <x v="2"/>
    <x v="1"/>
    <x v="0"/>
  </r>
  <r>
    <s v="DLV1087"/>
    <x v="3"/>
    <x v="1"/>
    <d v="2025-04-13T00:00:00"/>
    <d v="2025-04-13T00:00:00"/>
    <x v="0"/>
    <n v="21.4"/>
    <x v="0"/>
    <x v="0"/>
    <x v="0"/>
  </r>
  <r>
    <s v="DLV1088"/>
    <x v="1"/>
    <x v="1"/>
    <d v="2025-04-09T00:00:00"/>
    <d v="2025-04-09T00:00:00"/>
    <x v="0"/>
    <n v="38"/>
    <x v="0"/>
    <x v="0"/>
    <x v="0"/>
  </r>
  <r>
    <s v="DLV1089"/>
    <x v="2"/>
    <x v="2"/>
    <d v="2025-04-30T00:00:00"/>
    <d v="2025-04-29T00:00:00"/>
    <x v="0"/>
    <n v="29.5"/>
    <x v="4"/>
    <x v="0"/>
    <x v="0"/>
  </r>
  <r>
    <s v="DLV1090"/>
    <x v="2"/>
    <x v="1"/>
    <d v="2025-04-26T00:00:00"/>
    <d v="2025-04-26T00:00:00"/>
    <x v="0"/>
    <n v="6.4"/>
    <x v="0"/>
    <x v="0"/>
    <x v="0"/>
  </r>
  <r>
    <s v="DLV1091"/>
    <x v="3"/>
    <x v="2"/>
    <d v="2025-04-26T00:00:00"/>
    <d v="2025-04-26T00:00:00"/>
    <x v="0"/>
    <n v="9.9"/>
    <x v="0"/>
    <x v="0"/>
    <x v="0"/>
  </r>
  <r>
    <s v="DLV1092"/>
    <x v="0"/>
    <x v="2"/>
    <d v="2025-04-15T00:00:00"/>
    <d v="2025-04-15T00:00:00"/>
    <x v="0"/>
    <n v="34.299999999999997"/>
    <x v="0"/>
    <x v="0"/>
    <x v="0"/>
  </r>
  <r>
    <s v="DLV1093"/>
    <x v="0"/>
    <x v="2"/>
    <d v="2025-04-10T00:00:00"/>
    <d v="2025-04-10T00:00:00"/>
    <x v="0"/>
    <n v="25.4"/>
    <x v="0"/>
    <x v="0"/>
    <x v="0"/>
  </r>
  <r>
    <s v="DLV1094"/>
    <x v="0"/>
    <x v="1"/>
    <d v="2025-04-14T00:00:00"/>
    <d v="2025-04-17T00:00:00"/>
    <x v="1"/>
    <n v="26.3"/>
    <x v="3"/>
    <x v="1"/>
    <x v="0"/>
  </r>
  <r>
    <s v="DLV1095"/>
    <x v="2"/>
    <x v="1"/>
    <d v="2025-04-23T00:00:00"/>
    <d v="2025-04-23T00:00:00"/>
    <x v="0"/>
    <n v="45.2"/>
    <x v="0"/>
    <x v="0"/>
    <x v="0"/>
  </r>
  <r>
    <s v="DLV1096"/>
    <x v="2"/>
    <x v="2"/>
    <d v="2025-04-24T00:00:00"/>
    <d v="2025-04-24T00:00:00"/>
    <x v="0"/>
    <n v="32.5"/>
    <x v="0"/>
    <x v="0"/>
    <x v="0"/>
  </r>
  <r>
    <s v="DLV1097"/>
    <x v="3"/>
    <x v="2"/>
    <d v="2025-04-26T00:00:00"/>
    <d v="2025-04-28T00:00:00"/>
    <x v="1"/>
    <n v="21.3"/>
    <x v="2"/>
    <x v="1"/>
    <x v="0"/>
  </r>
  <r>
    <s v="DLV1098"/>
    <x v="0"/>
    <x v="2"/>
    <d v="2025-04-18T00:00:00"/>
    <d v="2025-04-18T00:00:00"/>
    <x v="0"/>
    <n v="44.3"/>
    <x v="0"/>
    <x v="0"/>
    <x v="0"/>
  </r>
  <r>
    <s v="DLV1099"/>
    <x v="3"/>
    <x v="2"/>
    <d v="2025-04-22T00:00:00"/>
    <d v="2025-04-22T00:00:00"/>
    <x v="0"/>
    <n v="15.8"/>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21:D23" firstHeaderRow="0" firstDataRow="1" firstDataCol="1"/>
  <pivotFields count="10">
    <pivotField showAll="0"/>
    <pivotField showAll="0"/>
    <pivotField showAll="0"/>
    <pivotField numFmtId="164" showAll="0"/>
    <pivotField numFmtId="164" showAll="0"/>
    <pivotField showAll="0"/>
    <pivotField showAll="0"/>
    <pivotField dataField="1" showAll="0"/>
    <pivotField showAll="0"/>
    <pivotField axis="axisRow" showAll="0">
      <items count="2">
        <item x="0"/>
        <item t="default"/>
      </items>
    </pivotField>
  </pivotFields>
  <rowFields count="1">
    <field x="9"/>
  </rowFields>
  <rowItems count="2">
    <i>
      <x/>
    </i>
    <i t="grand">
      <x/>
    </i>
  </rowItems>
  <colFields count="1">
    <field x="-2"/>
  </colFields>
  <colItems count="2">
    <i>
      <x/>
    </i>
    <i i="1">
      <x v="1"/>
    </i>
  </colItems>
  <dataFields count="2">
    <dataField name="Average of Delay (Days)" fld="7" subtotal="average" baseField="9" baseItem="0"/>
    <dataField name="Count of Delay (Days)" fld="7" subtotal="count" baseField="9"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13:C17" firstHeaderRow="1" firstDataRow="1" firstDataCol="1"/>
  <pivotFields count="10">
    <pivotField showAll="0"/>
    <pivotField showAll="0"/>
    <pivotField axis="axisRow" showAll="0">
      <items count="4">
        <item x="2"/>
        <item x="0"/>
        <item x="1"/>
        <item t="default"/>
      </items>
    </pivotField>
    <pivotField numFmtId="164" showAll="0"/>
    <pivotField numFmtId="164" showAll="0"/>
    <pivotField showAll="0"/>
    <pivotField dataField="1" showAll="0"/>
    <pivotField showAll="0"/>
    <pivotField showAll="0"/>
    <pivotField showAll="0"/>
  </pivotFields>
  <rowFields count="1">
    <field x="2"/>
  </rowFields>
  <rowItems count="4">
    <i>
      <x/>
    </i>
    <i>
      <x v="1"/>
    </i>
    <i>
      <x v="2"/>
    </i>
    <i t="grand">
      <x/>
    </i>
  </rowItems>
  <colItems count="1">
    <i/>
  </colItems>
  <dataFields count="1">
    <dataField name="Average of Delivery Time (hrs)" fld="6" subtotal="average" baseField="2" baseItem="0"/>
  </dataFields>
  <chartFormats count="3">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B3:E9" firstHeaderRow="1" firstDataRow="2" firstDataCol="1"/>
  <pivotFields count="10">
    <pivotField dataField="1" showAll="0"/>
    <pivotField axis="axisRow" showAll="0">
      <items count="5">
        <item x="1"/>
        <item x="0"/>
        <item x="2"/>
        <item x="3"/>
        <item t="default"/>
      </items>
    </pivotField>
    <pivotField showAll="0">
      <items count="4">
        <item x="2"/>
        <item x="0"/>
        <item x="1"/>
        <item t="default"/>
      </items>
    </pivotField>
    <pivotField numFmtId="164" showAll="0"/>
    <pivotField numFmtId="164" showAll="0"/>
    <pivotField axis="axisCol" showAll="0">
      <items count="3">
        <item x="1"/>
        <item x="0"/>
        <item t="default"/>
      </items>
    </pivotField>
    <pivotField showAll="0"/>
    <pivotField showAll="0"/>
    <pivotField showAll="0"/>
    <pivotField showAll="0"/>
  </pivotFields>
  <rowFields count="1">
    <field x="1"/>
  </rowFields>
  <rowItems count="5">
    <i>
      <x/>
    </i>
    <i>
      <x v="1"/>
    </i>
    <i>
      <x v="2"/>
    </i>
    <i>
      <x v="3"/>
    </i>
    <i t="grand">
      <x/>
    </i>
  </rowItems>
  <colFields count="1">
    <field x="5"/>
  </colFields>
  <colItems count="3">
    <i>
      <x/>
    </i>
    <i>
      <x v="1"/>
    </i>
    <i t="grand">
      <x/>
    </i>
  </colItems>
  <dataFields count="1">
    <dataField name="Count of Delivery ID" fld="0" subtotal="count" baseField="0" baseItem="0"/>
  </dataFields>
  <chartFormats count="12">
    <chartFormat chart="2" format="2" series="1">
      <pivotArea type="data" outline="0" fieldPosition="0">
        <references count="2">
          <reference field="4294967294" count="1" selected="0">
            <x v="0"/>
          </reference>
          <reference field="5" count="1" selected="0">
            <x v="0"/>
          </reference>
        </references>
      </pivotArea>
    </chartFormat>
    <chartFormat chart="0" format="2" series="1">
      <pivotArea type="data" outline="0" fieldPosition="0">
        <references count="2">
          <reference field="4294967294" count="1" selected="0">
            <x v="0"/>
          </reference>
          <reference field="5" count="1" selected="0">
            <x v="0"/>
          </reference>
        </references>
      </pivotArea>
    </chartFormat>
    <chartFormat chart="2" format="3" series="1">
      <pivotArea type="data" outline="0" fieldPosition="0">
        <references count="2">
          <reference field="4294967294" count="1" selected="0">
            <x v="0"/>
          </reference>
          <reference field="5" count="1" selected="0">
            <x v="1"/>
          </reference>
        </references>
      </pivotArea>
    </chartFormat>
    <chartFormat chart="0" format="3" series="1">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3">
          <reference field="4294967294" count="1" selected="0">
            <x v="0"/>
          </reference>
          <reference field="1" count="1" selected="0">
            <x v="1"/>
          </reference>
          <reference field="5" count="1" selected="0">
            <x v="0"/>
          </reference>
        </references>
      </pivotArea>
    </chartFormat>
    <chartFormat chart="2" format="5">
      <pivotArea type="data" outline="0" fieldPosition="0">
        <references count="3">
          <reference field="4294967294" count="1" selected="0">
            <x v="0"/>
          </reference>
          <reference field="1" count="1" selected="0">
            <x v="0"/>
          </reference>
          <reference field="5" count="1" selected="0">
            <x v="0"/>
          </reference>
        </references>
      </pivotArea>
    </chartFormat>
    <chartFormat chart="2" format="6">
      <pivotArea type="data" outline="0" fieldPosition="0">
        <references count="3">
          <reference field="4294967294" count="1" selected="0">
            <x v="0"/>
          </reference>
          <reference field="1" count="1" selected="0">
            <x v="3"/>
          </reference>
          <reference field="5" count="1" selected="0">
            <x v="0"/>
          </reference>
        </references>
      </pivotArea>
    </chartFormat>
    <chartFormat chart="2" format="7">
      <pivotArea type="data" outline="0" fieldPosition="0">
        <references count="3">
          <reference field="4294967294" count="1" selected="0">
            <x v="0"/>
          </reference>
          <reference field="1" count="1" selected="0">
            <x v="2"/>
          </reference>
          <reference field="5" count="1" selected="0">
            <x v="0"/>
          </reference>
        </references>
      </pivotArea>
    </chartFormat>
    <chartFormat chart="4" format="8" series="1">
      <pivotArea type="data" outline="0" fieldPosition="0">
        <references count="2">
          <reference field="4294967294" count="1" selected="0">
            <x v="0"/>
          </reference>
          <reference field="5" count="1" selected="0">
            <x v="0"/>
          </reference>
        </references>
      </pivotArea>
    </chartFormat>
    <chartFormat chart="4" format="9" series="1">
      <pivotArea type="data" outline="0" fieldPosition="0">
        <references count="2">
          <reference field="4294967294" count="1" selected="0">
            <x v="0"/>
          </reference>
          <reference field="5" count="1" selected="0">
            <x v="1"/>
          </reference>
        </references>
      </pivotArea>
    </chartFormat>
    <chartFormat chart="7" format="28" series="1">
      <pivotArea type="data" outline="0" fieldPosition="0">
        <references count="2">
          <reference field="4294967294" count="1" selected="0">
            <x v="0"/>
          </reference>
          <reference field="5" count="1" selected="0">
            <x v="0"/>
          </reference>
        </references>
      </pivotArea>
    </chartFormat>
    <chartFormat chart="7" format="29"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s>
  <data>
    <tabular pivotCacheId="1">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rier" sourceName="Courier">
  <pivotTables>
    <pivotTable tabId="3" name="PivotTable1"/>
  </pivotTables>
  <data>
    <tabular pivotCacheId="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us" sourceName="Status">
  <pivotTables>
    <pivotTable tabId="3" name="PivotTable1"/>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ourier" cache="Slicer_Courier" caption="Courier" rowHeight="241300"/>
  <slicer name="Status" cache="Slicer_Status" caption="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
  <sheetViews>
    <sheetView showGridLines="0" topLeftCell="A13" workbookViewId="0">
      <selection activeCell="S8" sqref="S8"/>
    </sheetView>
  </sheetViews>
  <sheetFormatPr defaultRowHeight="15" x14ac:dyDescent="0.25"/>
  <sheetData>
    <row r="2" spans="4:4" ht="28.5" x14ac:dyDescent="0.45">
      <c r="D2" s="7"/>
    </row>
  </sheetData>
  <sheetProtection password="8382" sheet="1" objects="1" scenarios="1" autoFilter="0" pivotTables="0"/>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1"/>
  <sheetViews>
    <sheetView tabSelected="1" workbookViewId="0">
      <pane ySplit="1" topLeftCell="A15" activePane="bottomLeft" state="frozen"/>
      <selection pane="bottomLeft" activeCell="E31" sqref="E31"/>
    </sheetView>
  </sheetViews>
  <sheetFormatPr defaultRowHeight="15" x14ac:dyDescent="0.25"/>
  <cols>
    <col min="1" max="1" width="10.7109375" bestFit="1" customWidth="1"/>
    <col min="3" max="3" width="9.28515625" bestFit="1" customWidth="1"/>
    <col min="4" max="4" width="23.140625" bestFit="1" customWidth="1"/>
    <col min="5" max="5" width="19.28515625" bestFit="1" customWidth="1"/>
    <col min="6" max="6" width="8.7109375" bestFit="1" customWidth="1"/>
    <col min="7" max="7" width="18.140625" bestFit="1" customWidth="1"/>
    <col min="8" max="8" width="12" bestFit="1" customWidth="1"/>
    <col min="9" max="9" width="21.5703125" bestFit="1" customWidth="1"/>
  </cols>
  <sheetData>
    <row r="1" spans="1:10" x14ac:dyDescent="0.25">
      <c r="A1" s="1" t="s">
        <v>0</v>
      </c>
      <c r="B1" s="1" t="s">
        <v>1</v>
      </c>
      <c r="C1" s="1" t="s">
        <v>2</v>
      </c>
      <c r="D1" s="1" t="s">
        <v>3</v>
      </c>
      <c r="E1" s="1" t="s">
        <v>4</v>
      </c>
      <c r="F1" s="1" t="s">
        <v>5</v>
      </c>
      <c r="G1" s="1" t="s">
        <v>6</v>
      </c>
      <c r="H1" s="3" t="s">
        <v>116</v>
      </c>
      <c r="I1" s="3" t="s">
        <v>117</v>
      </c>
      <c r="J1" s="3" t="s">
        <v>118</v>
      </c>
    </row>
    <row r="2" spans="1:10" x14ac:dyDescent="0.25">
      <c r="A2" t="s">
        <v>7</v>
      </c>
      <c r="B2" t="s">
        <v>107</v>
      </c>
      <c r="C2" t="s">
        <v>111</v>
      </c>
      <c r="D2" s="2">
        <v>45775</v>
      </c>
      <c r="E2" s="2">
        <v>45775</v>
      </c>
      <c r="F2" t="s">
        <v>114</v>
      </c>
      <c r="G2">
        <v>23.9</v>
      </c>
      <c r="H2">
        <f>E2-D2</f>
        <v>0</v>
      </c>
      <c r="I2" t="str">
        <f>IF(F2="On-Time", "Yes", "No")</f>
        <v>Yes</v>
      </c>
      <c r="J2" t="str">
        <f>TEXT(D2, "mmm")</f>
        <v>Apr</v>
      </c>
    </row>
    <row r="3" spans="1:10" x14ac:dyDescent="0.25">
      <c r="A3" t="s">
        <v>8</v>
      </c>
      <c r="B3" t="s">
        <v>107</v>
      </c>
      <c r="C3" t="s">
        <v>112</v>
      </c>
      <c r="D3" s="2">
        <v>45758</v>
      </c>
      <c r="E3" s="2">
        <v>45759</v>
      </c>
      <c r="F3" t="s">
        <v>115</v>
      </c>
      <c r="G3">
        <v>14.9</v>
      </c>
      <c r="H3">
        <f t="shared" ref="H3:H66" si="0">E3-D3</f>
        <v>1</v>
      </c>
      <c r="I3" t="str">
        <f t="shared" ref="I3:I66" si="1">IF(F3="On-Time", "Yes", "No")</f>
        <v>No</v>
      </c>
      <c r="J3" t="str">
        <f t="shared" ref="J3:J66" si="2">TEXT(D3, "mmm")</f>
        <v>Apr</v>
      </c>
    </row>
    <row r="4" spans="1:10" x14ac:dyDescent="0.25">
      <c r="A4" t="s">
        <v>9</v>
      </c>
      <c r="B4" t="s">
        <v>108</v>
      </c>
      <c r="C4" t="s">
        <v>111</v>
      </c>
      <c r="D4" s="2">
        <v>45750</v>
      </c>
      <c r="E4" s="2">
        <v>45750</v>
      </c>
      <c r="F4" t="s">
        <v>114</v>
      </c>
      <c r="G4">
        <v>28.2</v>
      </c>
      <c r="H4">
        <f t="shared" si="0"/>
        <v>0</v>
      </c>
      <c r="I4" t="str">
        <f t="shared" si="1"/>
        <v>Yes</v>
      </c>
      <c r="J4" t="str">
        <f t="shared" si="2"/>
        <v>Apr</v>
      </c>
    </row>
    <row r="5" spans="1:10" x14ac:dyDescent="0.25">
      <c r="A5" t="s">
        <v>10</v>
      </c>
      <c r="B5" t="s">
        <v>109</v>
      </c>
      <c r="C5" t="s">
        <v>112</v>
      </c>
      <c r="D5" s="2">
        <v>45764</v>
      </c>
      <c r="E5" s="2">
        <v>45764</v>
      </c>
      <c r="F5" t="s">
        <v>114</v>
      </c>
      <c r="G5">
        <v>3.9</v>
      </c>
      <c r="H5">
        <f t="shared" si="0"/>
        <v>0</v>
      </c>
      <c r="I5" t="str">
        <f t="shared" si="1"/>
        <v>Yes</v>
      </c>
      <c r="J5" t="str">
        <f t="shared" si="2"/>
        <v>Apr</v>
      </c>
    </row>
    <row r="6" spans="1:10" x14ac:dyDescent="0.25">
      <c r="A6" t="s">
        <v>11</v>
      </c>
      <c r="B6" t="s">
        <v>109</v>
      </c>
      <c r="C6" t="s">
        <v>111</v>
      </c>
      <c r="D6" s="2">
        <v>45755</v>
      </c>
      <c r="E6" s="2">
        <v>45757</v>
      </c>
      <c r="F6" t="s">
        <v>115</v>
      </c>
      <c r="G6">
        <v>3.7</v>
      </c>
      <c r="H6">
        <f t="shared" si="0"/>
        <v>2</v>
      </c>
      <c r="I6" t="str">
        <f t="shared" si="1"/>
        <v>No</v>
      </c>
      <c r="J6" t="str">
        <f t="shared" si="2"/>
        <v>Apr</v>
      </c>
    </row>
    <row r="7" spans="1:10" x14ac:dyDescent="0.25">
      <c r="A7" t="s">
        <v>12</v>
      </c>
      <c r="B7" t="s">
        <v>109</v>
      </c>
      <c r="C7" t="s">
        <v>112</v>
      </c>
      <c r="D7" s="2">
        <v>45756</v>
      </c>
      <c r="E7" s="2">
        <v>45756</v>
      </c>
      <c r="F7" t="s">
        <v>114</v>
      </c>
      <c r="G7">
        <v>23.4</v>
      </c>
      <c r="H7">
        <f t="shared" si="0"/>
        <v>0</v>
      </c>
      <c r="I7" t="str">
        <f t="shared" si="1"/>
        <v>Yes</v>
      </c>
      <c r="J7" t="str">
        <f t="shared" si="2"/>
        <v>Apr</v>
      </c>
    </row>
    <row r="8" spans="1:10" x14ac:dyDescent="0.25">
      <c r="A8" t="s">
        <v>13</v>
      </c>
      <c r="B8" t="s">
        <v>107</v>
      </c>
      <c r="C8" t="s">
        <v>113</v>
      </c>
      <c r="D8" s="2">
        <v>45769</v>
      </c>
      <c r="E8" s="2">
        <v>45772</v>
      </c>
      <c r="F8" t="s">
        <v>115</v>
      </c>
      <c r="G8">
        <v>26</v>
      </c>
      <c r="H8">
        <f t="shared" si="0"/>
        <v>3</v>
      </c>
      <c r="I8" t="str">
        <f t="shared" si="1"/>
        <v>No</v>
      </c>
      <c r="J8" t="str">
        <f t="shared" si="2"/>
        <v>Apr</v>
      </c>
    </row>
    <row r="9" spans="1:10" x14ac:dyDescent="0.25">
      <c r="A9" t="s">
        <v>14</v>
      </c>
      <c r="B9" t="s">
        <v>107</v>
      </c>
      <c r="C9" t="s">
        <v>112</v>
      </c>
      <c r="D9" s="2">
        <v>45763</v>
      </c>
      <c r="E9" s="2">
        <v>45763</v>
      </c>
      <c r="F9" t="s">
        <v>114</v>
      </c>
      <c r="G9">
        <v>46.2</v>
      </c>
      <c r="H9">
        <f t="shared" si="0"/>
        <v>0</v>
      </c>
      <c r="I9" t="str">
        <f t="shared" si="1"/>
        <v>Yes</v>
      </c>
      <c r="J9" t="str">
        <f t="shared" si="2"/>
        <v>Apr</v>
      </c>
    </row>
    <row r="10" spans="1:10" x14ac:dyDescent="0.25">
      <c r="A10" t="s">
        <v>15</v>
      </c>
      <c r="B10" t="s">
        <v>110</v>
      </c>
      <c r="C10" t="s">
        <v>112</v>
      </c>
      <c r="D10" s="2">
        <v>45754</v>
      </c>
      <c r="E10" s="2">
        <v>45754</v>
      </c>
      <c r="F10" t="s">
        <v>114</v>
      </c>
      <c r="G10">
        <v>41</v>
      </c>
      <c r="H10">
        <f t="shared" si="0"/>
        <v>0</v>
      </c>
      <c r="I10" t="str">
        <f t="shared" si="1"/>
        <v>Yes</v>
      </c>
      <c r="J10" t="str">
        <f t="shared" si="2"/>
        <v>Apr</v>
      </c>
    </row>
    <row r="11" spans="1:10" x14ac:dyDescent="0.25">
      <c r="A11" t="s">
        <v>16</v>
      </c>
      <c r="B11" t="s">
        <v>107</v>
      </c>
      <c r="C11" t="s">
        <v>113</v>
      </c>
      <c r="D11" s="2">
        <v>45765</v>
      </c>
      <c r="E11" s="2">
        <v>45765</v>
      </c>
      <c r="F11" t="s">
        <v>114</v>
      </c>
      <c r="G11">
        <v>29</v>
      </c>
      <c r="H11">
        <f t="shared" si="0"/>
        <v>0</v>
      </c>
      <c r="I11" t="str">
        <f t="shared" si="1"/>
        <v>Yes</v>
      </c>
      <c r="J11" t="str">
        <f t="shared" si="2"/>
        <v>Apr</v>
      </c>
    </row>
    <row r="12" spans="1:10" x14ac:dyDescent="0.25">
      <c r="A12" t="s">
        <v>17</v>
      </c>
      <c r="B12" t="s">
        <v>107</v>
      </c>
      <c r="C12" t="s">
        <v>112</v>
      </c>
      <c r="D12" s="2">
        <v>45752</v>
      </c>
      <c r="E12" s="2">
        <v>45752</v>
      </c>
      <c r="F12" t="s">
        <v>114</v>
      </c>
      <c r="G12">
        <v>41.5</v>
      </c>
      <c r="H12">
        <f t="shared" si="0"/>
        <v>0</v>
      </c>
      <c r="I12" t="str">
        <f t="shared" si="1"/>
        <v>Yes</v>
      </c>
      <c r="J12" t="str">
        <f t="shared" si="2"/>
        <v>Apr</v>
      </c>
    </row>
    <row r="13" spans="1:10" x14ac:dyDescent="0.25">
      <c r="A13" t="s">
        <v>18</v>
      </c>
      <c r="B13" t="s">
        <v>107</v>
      </c>
      <c r="C13" t="s">
        <v>112</v>
      </c>
      <c r="D13" s="2">
        <v>45771</v>
      </c>
      <c r="E13" s="2">
        <v>45770</v>
      </c>
      <c r="F13" t="s">
        <v>114</v>
      </c>
      <c r="G13">
        <v>6.6</v>
      </c>
      <c r="H13">
        <f t="shared" si="0"/>
        <v>-1</v>
      </c>
      <c r="I13" t="str">
        <f t="shared" si="1"/>
        <v>Yes</v>
      </c>
      <c r="J13" t="str">
        <f t="shared" si="2"/>
        <v>Apr</v>
      </c>
    </row>
    <row r="14" spans="1:10" x14ac:dyDescent="0.25">
      <c r="A14" t="s">
        <v>19</v>
      </c>
      <c r="B14" t="s">
        <v>109</v>
      </c>
      <c r="C14" t="s">
        <v>111</v>
      </c>
      <c r="D14" s="2">
        <v>45777</v>
      </c>
      <c r="E14" s="2">
        <v>45777</v>
      </c>
      <c r="F14" t="s">
        <v>114</v>
      </c>
      <c r="G14">
        <v>12.6</v>
      </c>
      <c r="H14">
        <f t="shared" si="0"/>
        <v>0</v>
      </c>
      <c r="I14" t="str">
        <f t="shared" si="1"/>
        <v>Yes</v>
      </c>
      <c r="J14" t="str">
        <f t="shared" si="2"/>
        <v>Apr</v>
      </c>
    </row>
    <row r="15" spans="1:10" x14ac:dyDescent="0.25">
      <c r="A15" t="s">
        <v>20</v>
      </c>
      <c r="B15" t="s">
        <v>109</v>
      </c>
      <c r="C15" t="s">
        <v>112</v>
      </c>
      <c r="D15" s="2">
        <v>45776</v>
      </c>
      <c r="E15" s="2">
        <v>45776</v>
      </c>
      <c r="F15" t="s">
        <v>114</v>
      </c>
      <c r="G15">
        <v>2.9</v>
      </c>
      <c r="H15">
        <f t="shared" si="0"/>
        <v>0</v>
      </c>
      <c r="I15" t="str">
        <f t="shared" si="1"/>
        <v>Yes</v>
      </c>
      <c r="J15" t="str">
        <f t="shared" si="2"/>
        <v>Apr</v>
      </c>
    </row>
    <row r="16" spans="1:10" x14ac:dyDescent="0.25">
      <c r="A16" t="s">
        <v>21</v>
      </c>
      <c r="B16" t="s">
        <v>107</v>
      </c>
      <c r="C16" t="s">
        <v>111</v>
      </c>
      <c r="D16" s="2">
        <v>45766</v>
      </c>
      <c r="E16" s="2">
        <v>45766</v>
      </c>
      <c r="F16" t="s">
        <v>114</v>
      </c>
      <c r="G16">
        <v>20.7</v>
      </c>
      <c r="H16">
        <f t="shared" si="0"/>
        <v>0</v>
      </c>
      <c r="I16" t="str">
        <f t="shared" si="1"/>
        <v>Yes</v>
      </c>
      <c r="J16" t="str">
        <f t="shared" si="2"/>
        <v>Apr</v>
      </c>
    </row>
    <row r="17" spans="1:10" x14ac:dyDescent="0.25">
      <c r="A17" t="s">
        <v>22</v>
      </c>
      <c r="B17" t="s">
        <v>109</v>
      </c>
      <c r="C17" t="s">
        <v>113</v>
      </c>
      <c r="D17" s="2">
        <v>45766</v>
      </c>
      <c r="E17" s="2">
        <v>45766</v>
      </c>
      <c r="F17" t="s">
        <v>114</v>
      </c>
      <c r="G17">
        <v>27.6</v>
      </c>
      <c r="H17">
        <f t="shared" si="0"/>
        <v>0</v>
      </c>
      <c r="I17" t="str">
        <f t="shared" si="1"/>
        <v>Yes</v>
      </c>
      <c r="J17" t="str">
        <f t="shared" si="2"/>
        <v>Apr</v>
      </c>
    </row>
    <row r="18" spans="1:10" x14ac:dyDescent="0.25">
      <c r="A18" t="s">
        <v>23</v>
      </c>
      <c r="B18" t="s">
        <v>110</v>
      </c>
      <c r="C18" t="s">
        <v>111</v>
      </c>
      <c r="D18" s="2">
        <v>45763</v>
      </c>
      <c r="E18" s="2">
        <v>45765</v>
      </c>
      <c r="F18" t="s">
        <v>115</v>
      </c>
      <c r="G18">
        <v>44.9</v>
      </c>
      <c r="H18">
        <f t="shared" si="0"/>
        <v>2</v>
      </c>
      <c r="I18" t="str">
        <f t="shared" si="1"/>
        <v>No</v>
      </c>
      <c r="J18" t="str">
        <f t="shared" si="2"/>
        <v>Apr</v>
      </c>
    </row>
    <row r="19" spans="1:10" x14ac:dyDescent="0.25">
      <c r="A19" t="s">
        <v>24</v>
      </c>
      <c r="B19" t="s">
        <v>109</v>
      </c>
      <c r="C19" t="s">
        <v>111</v>
      </c>
      <c r="D19" s="2">
        <v>45755</v>
      </c>
      <c r="E19" s="2">
        <v>45756</v>
      </c>
      <c r="F19" t="s">
        <v>115</v>
      </c>
      <c r="G19">
        <v>32.5</v>
      </c>
      <c r="H19">
        <f t="shared" si="0"/>
        <v>1</v>
      </c>
      <c r="I19" t="str">
        <f t="shared" si="1"/>
        <v>No</v>
      </c>
      <c r="J19" t="str">
        <f t="shared" si="2"/>
        <v>Apr</v>
      </c>
    </row>
    <row r="20" spans="1:10" x14ac:dyDescent="0.25">
      <c r="A20" t="s">
        <v>25</v>
      </c>
      <c r="B20" t="s">
        <v>110</v>
      </c>
      <c r="C20" t="s">
        <v>113</v>
      </c>
      <c r="D20" s="2">
        <v>45773</v>
      </c>
      <c r="E20" s="2">
        <v>45775</v>
      </c>
      <c r="F20" t="s">
        <v>115</v>
      </c>
      <c r="G20">
        <v>12.2</v>
      </c>
      <c r="H20">
        <f t="shared" si="0"/>
        <v>2</v>
      </c>
      <c r="I20" t="str">
        <f t="shared" si="1"/>
        <v>No</v>
      </c>
      <c r="J20" t="str">
        <f t="shared" si="2"/>
        <v>Apr</v>
      </c>
    </row>
    <row r="21" spans="1:10" x14ac:dyDescent="0.25">
      <c r="A21" t="s">
        <v>26</v>
      </c>
      <c r="B21" t="s">
        <v>108</v>
      </c>
      <c r="C21" t="s">
        <v>111</v>
      </c>
      <c r="D21" s="2">
        <v>45763</v>
      </c>
      <c r="E21" s="2">
        <v>45762</v>
      </c>
      <c r="F21" t="s">
        <v>114</v>
      </c>
      <c r="G21">
        <v>7.2</v>
      </c>
      <c r="H21">
        <f t="shared" si="0"/>
        <v>-1</v>
      </c>
      <c r="I21" t="str">
        <f t="shared" si="1"/>
        <v>Yes</v>
      </c>
      <c r="J21" t="str">
        <f t="shared" si="2"/>
        <v>Apr</v>
      </c>
    </row>
    <row r="22" spans="1:10" x14ac:dyDescent="0.25">
      <c r="A22" t="s">
        <v>27</v>
      </c>
      <c r="B22" t="s">
        <v>107</v>
      </c>
      <c r="C22" t="s">
        <v>113</v>
      </c>
      <c r="D22" s="2">
        <v>45773</v>
      </c>
      <c r="E22" s="2">
        <v>45773</v>
      </c>
      <c r="F22" t="s">
        <v>114</v>
      </c>
      <c r="G22">
        <v>15.1</v>
      </c>
      <c r="H22">
        <f t="shared" si="0"/>
        <v>0</v>
      </c>
      <c r="I22" t="str">
        <f t="shared" si="1"/>
        <v>Yes</v>
      </c>
      <c r="J22" t="str">
        <f t="shared" si="2"/>
        <v>Apr</v>
      </c>
    </row>
    <row r="23" spans="1:10" x14ac:dyDescent="0.25">
      <c r="A23" t="s">
        <v>28</v>
      </c>
      <c r="B23" t="s">
        <v>109</v>
      </c>
      <c r="C23" t="s">
        <v>112</v>
      </c>
      <c r="D23" s="2">
        <v>45761</v>
      </c>
      <c r="E23" s="2">
        <v>45763</v>
      </c>
      <c r="F23" t="s">
        <v>115</v>
      </c>
      <c r="G23">
        <v>44.7</v>
      </c>
      <c r="H23">
        <f t="shared" si="0"/>
        <v>2</v>
      </c>
      <c r="I23" t="str">
        <f t="shared" si="1"/>
        <v>No</v>
      </c>
      <c r="J23" t="str">
        <f t="shared" si="2"/>
        <v>Apr</v>
      </c>
    </row>
    <row r="24" spans="1:10" x14ac:dyDescent="0.25">
      <c r="A24" t="s">
        <v>29</v>
      </c>
      <c r="B24" t="s">
        <v>110</v>
      </c>
      <c r="C24" t="s">
        <v>112</v>
      </c>
      <c r="D24" s="2">
        <v>45754</v>
      </c>
      <c r="E24" s="2">
        <v>45754</v>
      </c>
      <c r="F24" t="s">
        <v>114</v>
      </c>
      <c r="G24">
        <v>1.4</v>
      </c>
      <c r="H24">
        <f t="shared" si="0"/>
        <v>0</v>
      </c>
      <c r="I24" t="str">
        <f t="shared" si="1"/>
        <v>Yes</v>
      </c>
      <c r="J24" t="str">
        <f t="shared" si="2"/>
        <v>Apr</v>
      </c>
    </row>
    <row r="25" spans="1:10" x14ac:dyDescent="0.25">
      <c r="A25" t="s">
        <v>30</v>
      </c>
      <c r="B25" t="s">
        <v>108</v>
      </c>
      <c r="C25" t="s">
        <v>111</v>
      </c>
      <c r="D25" s="2">
        <v>45751</v>
      </c>
      <c r="E25" s="2">
        <v>45751</v>
      </c>
      <c r="F25" t="s">
        <v>114</v>
      </c>
      <c r="G25">
        <v>47.9</v>
      </c>
      <c r="H25">
        <f t="shared" si="0"/>
        <v>0</v>
      </c>
      <c r="I25" t="str">
        <f t="shared" si="1"/>
        <v>Yes</v>
      </c>
      <c r="J25" t="str">
        <f t="shared" si="2"/>
        <v>Apr</v>
      </c>
    </row>
    <row r="26" spans="1:10" x14ac:dyDescent="0.25">
      <c r="A26" t="s">
        <v>31</v>
      </c>
      <c r="B26" t="s">
        <v>108</v>
      </c>
      <c r="C26" t="s">
        <v>112</v>
      </c>
      <c r="D26" s="2">
        <v>45751</v>
      </c>
      <c r="E26" s="2">
        <v>45751</v>
      </c>
      <c r="F26" t="s">
        <v>114</v>
      </c>
      <c r="G26">
        <v>4.4000000000000004</v>
      </c>
      <c r="H26">
        <f t="shared" si="0"/>
        <v>0</v>
      </c>
      <c r="I26" t="str">
        <f t="shared" si="1"/>
        <v>Yes</v>
      </c>
      <c r="J26" t="str">
        <f t="shared" si="2"/>
        <v>Apr</v>
      </c>
    </row>
    <row r="27" spans="1:10" x14ac:dyDescent="0.25">
      <c r="A27" t="s">
        <v>32</v>
      </c>
      <c r="B27" t="s">
        <v>109</v>
      </c>
      <c r="C27" t="s">
        <v>113</v>
      </c>
      <c r="D27" s="2">
        <v>45769</v>
      </c>
      <c r="E27" s="2">
        <v>45770</v>
      </c>
      <c r="F27" t="s">
        <v>115</v>
      </c>
      <c r="G27">
        <v>24.8</v>
      </c>
      <c r="H27">
        <f t="shared" si="0"/>
        <v>1</v>
      </c>
      <c r="I27" t="str">
        <f t="shared" si="1"/>
        <v>No</v>
      </c>
      <c r="J27" t="str">
        <f t="shared" si="2"/>
        <v>Apr</v>
      </c>
    </row>
    <row r="28" spans="1:10" x14ac:dyDescent="0.25">
      <c r="A28" t="s">
        <v>33</v>
      </c>
      <c r="B28" t="s">
        <v>109</v>
      </c>
      <c r="C28" t="s">
        <v>112</v>
      </c>
      <c r="D28" s="2">
        <v>45761</v>
      </c>
      <c r="E28" s="2">
        <v>45762</v>
      </c>
      <c r="F28" t="s">
        <v>115</v>
      </c>
      <c r="G28">
        <v>44.9</v>
      </c>
      <c r="H28">
        <f t="shared" si="0"/>
        <v>1</v>
      </c>
      <c r="I28" t="str">
        <f t="shared" si="1"/>
        <v>No</v>
      </c>
      <c r="J28" t="str">
        <f t="shared" si="2"/>
        <v>Apr</v>
      </c>
    </row>
    <row r="29" spans="1:10" x14ac:dyDescent="0.25">
      <c r="A29" t="s">
        <v>34</v>
      </c>
      <c r="B29" t="s">
        <v>108</v>
      </c>
      <c r="C29" t="s">
        <v>113</v>
      </c>
      <c r="D29" s="2">
        <v>45759</v>
      </c>
      <c r="E29" s="2">
        <v>45759</v>
      </c>
      <c r="F29" t="s">
        <v>114</v>
      </c>
      <c r="G29">
        <v>42.3</v>
      </c>
      <c r="H29">
        <f t="shared" si="0"/>
        <v>0</v>
      </c>
      <c r="I29" t="str">
        <f t="shared" si="1"/>
        <v>Yes</v>
      </c>
      <c r="J29" t="str">
        <f t="shared" si="2"/>
        <v>Apr</v>
      </c>
    </row>
    <row r="30" spans="1:10" x14ac:dyDescent="0.25">
      <c r="A30" t="s">
        <v>35</v>
      </c>
      <c r="B30" t="s">
        <v>107</v>
      </c>
      <c r="C30" t="s">
        <v>112</v>
      </c>
      <c r="D30" s="2">
        <v>45761</v>
      </c>
      <c r="E30" s="2">
        <v>45763</v>
      </c>
      <c r="F30" t="s">
        <v>115</v>
      </c>
      <c r="G30">
        <v>14.4</v>
      </c>
      <c r="H30">
        <f t="shared" si="0"/>
        <v>2</v>
      </c>
      <c r="I30" t="str">
        <f t="shared" si="1"/>
        <v>No</v>
      </c>
      <c r="J30" t="str">
        <f t="shared" si="2"/>
        <v>Apr</v>
      </c>
    </row>
    <row r="31" spans="1:10" x14ac:dyDescent="0.25">
      <c r="A31" t="s">
        <v>36</v>
      </c>
      <c r="B31" t="s">
        <v>107</v>
      </c>
      <c r="C31" t="s">
        <v>111</v>
      </c>
      <c r="D31" s="2">
        <v>45761</v>
      </c>
      <c r="E31" s="2">
        <v>45760</v>
      </c>
      <c r="F31" t="s">
        <v>114</v>
      </c>
      <c r="G31">
        <v>40.200000000000003</v>
      </c>
      <c r="H31">
        <f t="shared" si="0"/>
        <v>-1</v>
      </c>
      <c r="I31" t="str">
        <f t="shared" si="1"/>
        <v>Yes</v>
      </c>
      <c r="J31" t="str">
        <f t="shared" si="2"/>
        <v>Apr</v>
      </c>
    </row>
    <row r="32" spans="1:10" x14ac:dyDescent="0.25">
      <c r="A32" t="s">
        <v>37</v>
      </c>
      <c r="B32" t="s">
        <v>110</v>
      </c>
      <c r="C32" t="s">
        <v>112</v>
      </c>
      <c r="D32" s="2">
        <v>45762</v>
      </c>
      <c r="E32" s="2">
        <v>45762</v>
      </c>
      <c r="F32" t="s">
        <v>114</v>
      </c>
      <c r="G32">
        <v>15.2</v>
      </c>
      <c r="H32">
        <f t="shared" si="0"/>
        <v>0</v>
      </c>
      <c r="I32" t="str">
        <f t="shared" si="1"/>
        <v>Yes</v>
      </c>
      <c r="J32" t="str">
        <f t="shared" si="2"/>
        <v>Apr</v>
      </c>
    </row>
    <row r="33" spans="1:10" x14ac:dyDescent="0.25">
      <c r="A33" t="s">
        <v>38</v>
      </c>
      <c r="B33" t="s">
        <v>107</v>
      </c>
      <c r="C33" t="s">
        <v>112</v>
      </c>
      <c r="D33" s="2">
        <v>45775</v>
      </c>
      <c r="E33" s="2">
        <v>45778</v>
      </c>
      <c r="F33" t="s">
        <v>115</v>
      </c>
      <c r="G33">
        <v>31.7</v>
      </c>
      <c r="H33">
        <f t="shared" si="0"/>
        <v>3</v>
      </c>
      <c r="I33" t="str">
        <f t="shared" si="1"/>
        <v>No</v>
      </c>
      <c r="J33" t="str">
        <f t="shared" si="2"/>
        <v>Apr</v>
      </c>
    </row>
    <row r="34" spans="1:10" x14ac:dyDescent="0.25">
      <c r="A34" t="s">
        <v>39</v>
      </c>
      <c r="B34" t="s">
        <v>108</v>
      </c>
      <c r="C34" t="s">
        <v>112</v>
      </c>
      <c r="D34" s="2">
        <v>45771</v>
      </c>
      <c r="E34" s="2">
        <v>45771</v>
      </c>
      <c r="F34" t="s">
        <v>114</v>
      </c>
      <c r="G34">
        <v>32.4</v>
      </c>
      <c r="H34">
        <f t="shared" si="0"/>
        <v>0</v>
      </c>
      <c r="I34" t="str">
        <f t="shared" si="1"/>
        <v>Yes</v>
      </c>
      <c r="J34" t="str">
        <f t="shared" si="2"/>
        <v>Apr</v>
      </c>
    </row>
    <row r="35" spans="1:10" x14ac:dyDescent="0.25">
      <c r="A35" t="s">
        <v>40</v>
      </c>
      <c r="B35" t="s">
        <v>108</v>
      </c>
      <c r="C35" t="s">
        <v>113</v>
      </c>
      <c r="D35" s="2">
        <v>45749</v>
      </c>
      <c r="E35" s="2">
        <v>45749</v>
      </c>
      <c r="F35" t="s">
        <v>114</v>
      </c>
      <c r="G35">
        <v>15.1</v>
      </c>
      <c r="H35">
        <f t="shared" si="0"/>
        <v>0</v>
      </c>
      <c r="I35" t="str">
        <f t="shared" si="1"/>
        <v>Yes</v>
      </c>
      <c r="J35" t="str">
        <f t="shared" si="2"/>
        <v>Apr</v>
      </c>
    </row>
    <row r="36" spans="1:10" x14ac:dyDescent="0.25">
      <c r="A36" t="s">
        <v>41</v>
      </c>
      <c r="B36" t="s">
        <v>108</v>
      </c>
      <c r="C36" t="s">
        <v>113</v>
      </c>
      <c r="D36" s="2">
        <v>45769</v>
      </c>
      <c r="E36" s="2">
        <v>45769</v>
      </c>
      <c r="F36" t="s">
        <v>114</v>
      </c>
      <c r="G36">
        <v>5.9</v>
      </c>
      <c r="H36">
        <f t="shared" si="0"/>
        <v>0</v>
      </c>
      <c r="I36" t="str">
        <f t="shared" si="1"/>
        <v>Yes</v>
      </c>
      <c r="J36" t="str">
        <f t="shared" si="2"/>
        <v>Apr</v>
      </c>
    </row>
    <row r="37" spans="1:10" x14ac:dyDescent="0.25">
      <c r="A37" t="s">
        <v>42</v>
      </c>
      <c r="B37" t="s">
        <v>107</v>
      </c>
      <c r="C37" t="s">
        <v>111</v>
      </c>
      <c r="D37" s="2">
        <v>45768</v>
      </c>
      <c r="E37" s="2">
        <v>45769</v>
      </c>
      <c r="F37" t="s">
        <v>115</v>
      </c>
      <c r="G37">
        <v>13.4</v>
      </c>
      <c r="H37">
        <f t="shared" si="0"/>
        <v>1</v>
      </c>
      <c r="I37" t="str">
        <f t="shared" si="1"/>
        <v>No</v>
      </c>
      <c r="J37" t="str">
        <f t="shared" si="2"/>
        <v>Apr</v>
      </c>
    </row>
    <row r="38" spans="1:10" x14ac:dyDescent="0.25">
      <c r="A38" t="s">
        <v>43</v>
      </c>
      <c r="B38" t="s">
        <v>110</v>
      </c>
      <c r="C38" t="s">
        <v>113</v>
      </c>
      <c r="D38" s="2">
        <v>45768</v>
      </c>
      <c r="E38" s="2">
        <v>45768</v>
      </c>
      <c r="F38" t="s">
        <v>114</v>
      </c>
      <c r="G38">
        <v>35.9</v>
      </c>
      <c r="H38">
        <f t="shared" si="0"/>
        <v>0</v>
      </c>
      <c r="I38" t="str">
        <f t="shared" si="1"/>
        <v>Yes</v>
      </c>
      <c r="J38" t="str">
        <f t="shared" si="2"/>
        <v>Apr</v>
      </c>
    </row>
    <row r="39" spans="1:10" x14ac:dyDescent="0.25">
      <c r="A39" t="s">
        <v>44</v>
      </c>
      <c r="B39" t="s">
        <v>107</v>
      </c>
      <c r="C39" t="s">
        <v>112</v>
      </c>
      <c r="D39" s="2">
        <v>45751</v>
      </c>
      <c r="E39" s="2">
        <v>45752</v>
      </c>
      <c r="F39" t="s">
        <v>115</v>
      </c>
      <c r="G39">
        <v>13.8</v>
      </c>
      <c r="H39">
        <f t="shared" si="0"/>
        <v>1</v>
      </c>
      <c r="I39" t="str">
        <f t="shared" si="1"/>
        <v>No</v>
      </c>
      <c r="J39" t="str">
        <f t="shared" si="2"/>
        <v>Apr</v>
      </c>
    </row>
    <row r="40" spans="1:10" x14ac:dyDescent="0.25">
      <c r="A40" t="s">
        <v>45</v>
      </c>
      <c r="B40" t="s">
        <v>110</v>
      </c>
      <c r="C40" t="s">
        <v>112</v>
      </c>
      <c r="D40" s="2">
        <v>45749</v>
      </c>
      <c r="E40" s="2">
        <v>45749</v>
      </c>
      <c r="F40" t="s">
        <v>114</v>
      </c>
      <c r="G40">
        <v>10.9</v>
      </c>
      <c r="H40">
        <f t="shared" si="0"/>
        <v>0</v>
      </c>
      <c r="I40" t="str">
        <f t="shared" si="1"/>
        <v>Yes</v>
      </c>
      <c r="J40" t="str">
        <f t="shared" si="2"/>
        <v>Apr</v>
      </c>
    </row>
    <row r="41" spans="1:10" x14ac:dyDescent="0.25">
      <c r="A41" t="s">
        <v>46</v>
      </c>
      <c r="B41" t="s">
        <v>107</v>
      </c>
      <c r="C41" t="s">
        <v>113</v>
      </c>
      <c r="D41" s="2">
        <v>45760</v>
      </c>
      <c r="E41" s="2">
        <v>45762</v>
      </c>
      <c r="F41" t="s">
        <v>115</v>
      </c>
      <c r="G41">
        <v>10.6</v>
      </c>
      <c r="H41">
        <f t="shared" si="0"/>
        <v>2</v>
      </c>
      <c r="I41" t="str">
        <f t="shared" si="1"/>
        <v>No</v>
      </c>
      <c r="J41" t="str">
        <f t="shared" si="2"/>
        <v>Apr</v>
      </c>
    </row>
    <row r="42" spans="1:10" x14ac:dyDescent="0.25">
      <c r="A42" t="s">
        <v>47</v>
      </c>
      <c r="B42" t="s">
        <v>108</v>
      </c>
      <c r="C42" t="s">
        <v>112</v>
      </c>
      <c r="D42" s="2">
        <v>45771</v>
      </c>
      <c r="E42" s="2">
        <v>45771</v>
      </c>
      <c r="F42" t="s">
        <v>114</v>
      </c>
      <c r="G42">
        <v>41.1</v>
      </c>
      <c r="H42">
        <f t="shared" si="0"/>
        <v>0</v>
      </c>
      <c r="I42" t="str">
        <f t="shared" si="1"/>
        <v>Yes</v>
      </c>
      <c r="J42" t="str">
        <f t="shared" si="2"/>
        <v>Apr</v>
      </c>
    </row>
    <row r="43" spans="1:10" x14ac:dyDescent="0.25">
      <c r="A43" t="s">
        <v>48</v>
      </c>
      <c r="B43" t="s">
        <v>108</v>
      </c>
      <c r="C43" t="s">
        <v>111</v>
      </c>
      <c r="D43" s="2">
        <v>45758</v>
      </c>
      <c r="E43" s="2">
        <v>45758</v>
      </c>
      <c r="F43" t="s">
        <v>114</v>
      </c>
      <c r="G43">
        <v>24</v>
      </c>
      <c r="H43">
        <f t="shared" si="0"/>
        <v>0</v>
      </c>
      <c r="I43" t="str">
        <f t="shared" si="1"/>
        <v>Yes</v>
      </c>
      <c r="J43" t="str">
        <f t="shared" si="2"/>
        <v>Apr</v>
      </c>
    </row>
    <row r="44" spans="1:10" x14ac:dyDescent="0.25">
      <c r="A44" t="s">
        <v>49</v>
      </c>
      <c r="B44" t="s">
        <v>109</v>
      </c>
      <c r="C44" t="s">
        <v>111</v>
      </c>
      <c r="D44" s="2">
        <v>45773</v>
      </c>
      <c r="E44" s="2">
        <v>45776</v>
      </c>
      <c r="F44" t="s">
        <v>115</v>
      </c>
      <c r="G44">
        <v>3.4</v>
      </c>
      <c r="H44">
        <f t="shared" si="0"/>
        <v>3</v>
      </c>
      <c r="I44" t="str">
        <f t="shared" si="1"/>
        <v>No</v>
      </c>
      <c r="J44" t="str">
        <f t="shared" si="2"/>
        <v>Apr</v>
      </c>
    </row>
    <row r="45" spans="1:10" x14ac:dyDescent="0.25">
      <c r="A45" t="s">
        <v>50</v>
      </c>
      <c r="B45" t="s">
        <v>107</v>
      </c>
      <c r="C45" t="s">
        <v>113</v>
      </c>
      <c r="D45" s="2">
        <v>45775</v>
      </c>
      <c r="E45" s="2">
        <v>45775</v>
      </c>
      <c r="F45" t="s">
        <v>114</v>
      </c>
      <c r="G45">
        <v>20.9</v>
      </c>
      <c r="H45">
        <f t="shared" si="0"/>
        <v>0</v>
      </c>
      <c r="I45" t="str">
        <f t="shared" si="1"/>
        <v>Yes</v>
      </c>
      <c r="J45" t="str">
        <f t="shared" si="2"/>
        <v>Apr</v>
      </c>
    </row>
    <row r="46" spans="1:10" x14ac:dyDescent="0.25">
      <c r="A46" t="s">
        <v>51</v>
      </c>
      <c r="B46" t="s">
        <v>107</v>
      </c>
      <c r="C46" t="s">
        <v>113</v>
      </c>
      <c r="D46" s="2">
        <v>45751</v>
      </c>
      <c r="E46" s="2">
        <v>45753</v>
      </c>
      <c r="F46" t="s">
        <v>115</v>
      </c>
      <c r="G46">
        <v>3.1</v>
      </c>
      <c r="H46">
        <f t="shared" si="0"/>
        <v>2</v>
      </c>
      <c r="I46" t="str">
        <f t="shared" si="1"/>
        <v>No</v>
      </c>
      <c r="J46" t="str">
        <f t="shared" si="2"/>
        <v>Apr</v>
      </c>
    </row>
    <row r="47" spans="1:10" x14ac:dyDescent="0.25">
      <c r="A47" t="s">
        <v>52</v>
      </c>
      <c r="B47" t="s">
        <v>109</v>
      </c>
      <c r="C47" t="s">
        <v>111</v>
      </c>
      <c r="D47" s="2">
        <v>45755</v>
      </c>
      <c r="E47" s="2">
        <v>45757</v>
      </c>
      <c r="F47" t="s">
        <v>115</v>
      </c>
      <c r="G47">
        <v>37.200000000000003</v>
      </c>
      <c r="H47">
        <f t="shared" si="0"/>
        <v>2</v>
      </c>
      <c r="I47" t="str">
        <f t="shared" si="1"/>
        <v>No</v>
      </c>
      <c r="J47" t="str">
        <f t="shared" si="2"/>
        <v>Apr</v>
      </c>
    </row>
    <row r="48" spans="1:10" x14ac:dyDescent="0.25">
      <c r="A48" t="s">
        <v>53</v>
      </c>
      <c r="B48" t="s">
        <v>108</v>
      </c>
      <c r="C48" t="s">
        <v>111</v>
      </c>
      <c r="D48" s="2">
        <v>45754</v>
      </c>
      <c r="E48" s="2">
        <v>45754</v>
      </c>
      <c r="F48" t="s">
        <v>114</v>
      </c>
      <c r="G48">
        <v>47.1</v>
      </c>
      <c r="H48">
        <f t="shared" si="0"/>
        <v>0</v>
      </c>
      <c r="I48" t="str">
        <f t="shared" si="1"/>
        <v>Yes</v>
      </c>
      <c r="J48" t="str">
        <f t="shared" si="2"/>
        <v>Apr</v>
      </c>
    </row>
    <row r="49" spans="1:10" x14ac:dyDescent="0.25">
      <c r="A49" t="s">
        <v>54</v>
      </c>
      <c r="B49" t="s">
        <v>107</v>
      </c>
      <c r="C49" t="s">
        <v>113</v>
      </c>
      <c r="D49" s="2">
        <v>45754</v>
      </c>
      <c r="E49" s="2">
        <v>45755</v>
      </c>
      <c r="F49" t="s">
        <v>115</v>
      </c>
      <c r="G49">
        <v>35.799999999999997</v>
      </c>
      <c r="H49">
        <f t="shared" si="0"/>
        <v>1</v>
      </c>
      <c r="I49" t="str">
        <f t="shared" si="1"/>
        <v>No</v>
      </c>
      <c r="J49" t="str">
        <f t="shared" si="2"/>
        <v>Apr</v>
      </c>
    </row>
    <row r="50" spans="1:10" x14ac:dyDescent="0.25">
      <c r="A50" t="s">
        <v>55</v>
      </c>
      <c r="B50" t="s">
        <v>109</v>
      </c>
      <c r="C50" t="s">
        <v>113</v>
      </c>
      <c r="D50" s="2">
        <v>45765</v>
      </c>
      <c r="E50" s="2">
        <v>45765</v>
      </c>
      <c r="F50" t="s">
        <v>114</v>
      </c>
      <c r="G50">
        <v>34.200000000000003</v>
      </c>
      <c r="H50">
        <f t="shared" si="0"/>
        <v>0</v>
      </c>
      <c r="I50" t="str">
        <f t="shared" si="1"/>
        <v>Yes</v>
      </c>
      <c r="J50" t="str">
        <f t="shared" si="2"/>
        <v>Apr</v>
      </c>
    </row>
    <row r="51" spans="1:10" x14ac:dyDescent="0.25">
      <c r="A51" t="s">
        <v>56</v>
      </c>
      <c r="B51" t="s">
        <v>107</v>
      </c>
      <c r="C51" t="s">
        <v>113</v>
      </c>
      <c r="D51" s="2">
        <v>45762</v>
      </c>
      <c r="E51" s="2">
        <v>45762</v>
      </c>
      <c r="F51" t="s">
        <v>114</v>
      </c>
      <c r="G51">
        <v>1.5</v>
      </c>
      <c r="H51">
        <f t="shared" si="0"/>
        <v>0</v>
      </c>
      <c r="I51" t="str">
        <f t="shared" si="1"/>
        <v>Yes</v>
      </c>
      <c r="J51" t="str">
        <f t="shared" si="2"/>
        <v>Apr</v>
      </c>
    </row>
    <row r="52" spans="1:10" x14ac:dyDescent="0.25">
      <c r="A52" t="s">
        <v>57</v>
      </c>
      <c r="B52" t="s">
        <v>110</v>
      </c>
      <c r="C52" t="s">
        <v>112</v>
      </c>
      <c r="D52" s="2">
        <v>45752</v>
      </c>
      <c r="E52" s="2">
        <v>45752</v>
      </c>
      <c r="F52" t="s">
        <v>114</v>
      </c>
      <c r="G52">
        <v>45.4</v>
      </c>
      <c r="H52">
        <f t="shared" si="0"/>
        <v>0</v>
      </c>
      <c r="I52" t="str">
        <f t="shared" si="1"/>
        <v>Yes</v>
      </c>
      <c r="J52" t="str">
        <f t="shared" si="2"/>
        <v>Apr</v>
      </c>
    </row>
    <row r="53" spans="1:10" x14ac:dyDescent="0.25">
      <c r="A53" t="s">
        <v>58</v>
      </c>
      <c r="B53" t="s">
        <v>108</v>
      </c>
      <c r="C53" t="s">
        <v>113</v>
      </c>
      <c r="D53" s="2">
        <v>45761</v>
      </c>
      <c r="E53" s="2">
        <v>45761</v>
      </c>
      <c r="F53" t="s">
        <v>114</v>
      </c>
      <c r="G53">
        <v>43.5</v>
      </c>
      <c r="H53">
        <f t="shared" si="0"/>
        <v>0</v>
      </c>
      <c r="I53" t="str">
        <f t="shared" si="1"/>
        <v>Yes</v>
      </c>
      <c r="J53" t="str">
        <f t="shared" si="2"/>
        <v>Apr</v>
      </c>
    </row>
    <row r="54" spans="1:10" x14ac:dyDescent="0.25">
      <c r="A54" t="s">
        <v>59</v>
      </c>
      <c r="B54" t="s">
        <v>110</v>
      </c>
      <c r="C54" t="s">
        <v>113</v>
      </c>
      <c r="D54" s="2">
        <v>45753</v>
      </c>
      <c r="E54" s="2">
        <v>45753</v>
      </c>
      <c r="F54" t="s">
        <v>114</v>
      </c>
      <c r="G54">
        <v>2.7</v>
      </c>
      <c r="H54">
        <f t="shared" si="0"/>
        <v>0</v>
      </c>
      <c r="I54" t="str">
        <f t="shared" si="1"/>
        <v>Yes</v>
      </c>
      <c r="J54" t="str">
        <f t="shared" si="2"/>
        <v>Apr</v>
      </c>
    </row>
    <row r="55" spans="1:10" x14ac:dyDescent="0.25">
      <c r="A55" t="s">
        <v>60</v>
      </c>
      <c r="B55" t="s">
        <v>108</v>
      </c>
      <c r="C55" t="s">
        <v>112</v>
      </c>
      <c r="D55" s="2">
        <v>45756</v>
      </c>
      <c r="E55" s="2">
        <v>45758</v>
      </c>
      <c r="F55" t="s">
        <v>115</v>
      </c>
      <c r="G55">
        <v>28.4</v>
      </c>
      <c r="H55">
        <f t="shared" si="0"/>
        <v>2</v>
      </c>
      <c r="I55" t="str">
        <f t="shared" si="1"/>
        <v>No</v>
      </c>
      <c r="J55" t="str">
        <f t="shared" si="2"/>
        <v>Apr</v>
      </c>
    </row>
    <row r="56" spans="1:10" x14ac:dyDescent="0.25">
      <c r="A56" t="s">
        <v>61</v>
      </c>
      <c r="B56" t="s">
        <v>109</v>
      </c>
      <c r="C56" t="s">
        <v>111</v>
      </c>
      <c r="D56" s="2">
        <v>45762</v>
      </c>
      <c r="E56" s="2">
        <v>45763</v>
      </c>
      <c r="F56" t="s">
        <v>115</v>
      </c>
      <c r="G56">
        <v>21.2</v>
      </c>
      <c r="H56">
        <f t="shared" si="0"/>
        <v>1</v>
      </c>
      <c r="I56" t="str">
        <f t="shared" si="1"/>
        <v>No</v>
      </c>
      <c r="J56" t="str">
        <f t="shared" si="2"/>
        <v>Apr</v>
      </c>
    </row>
    <row r="57" spans="1:10" x14ac:dyDescent="0.25">
      <c r="A57" t="s">
        <v>62</v>
      </c>
      <c r="B57" t="s">
        <v>108</v>
      </c>
      <c r="C57" t="s">
        <v>113</v>
      </c>
      <c r="D57" s="2">
        <v>45755</v>
      </c>
      <c r="E57" s="2">
        <v>45755</v>
      </c>
      <c r="F57" t="s">
        <v>114</v>
      </c>
      <c r="G57">
        <v>15.5</v>
      </c>
      <c r="H57">
        <f t="shared" si="0"/>
        <v>0</v>
      </c>
      <c r="I57" t="str">
        <f t="shared" si="1"/>
        <v>Yes</v>
      </c>
      <c r="J57" t="str">
        <f t="shared" si="2"/>
        <v>Apr</v>
      </c>
    </row>
    <row r="58" spans="1:10" x14ac:dyDescent="0.25">
      <c r="A58" t="s">
        <v>63</v>
      </c>
      <c r="B58" t="s">
        <v>108</v>
      </c>
      <c r="C58" t="s">
        <v>112</v>
      </c>
      <c r="D58" s="2">
        <v>45775</v>
      </c>
      <c r="E58" s="2">
        <v>45778</v>
      </c>
      <c r="F58" t="s">
        <v>115</v>
      </c>
      <c r="G58">
        <v>46.7</v>
      </c>
      <c r="H58">
        <f t="shared" si="0"/>
        <v>3</v>
      </c>
      <c r="I58" t="str">
        <f t="shared" si="1"/>
        <v>No</v>
      </c>
      <c r="J58" t="str">
        <f t="shared" si="2"/>
        <v>Apr</v>
      </c>
    </row>
    <row r="59" spans="1:10" x14ac:dyDescent="0.25">
      <c r="A59" t="s">
        <v>64</v>
      </c>
      <c r="B59" t="s">
        <v>109</v>
      </c>
      <c r="C59" t="s">
        <v>113</v>
      </c>
      <c r="D59" s="2">
        <v>45777</v>
      </c>
      <c r="E59" s="2">
        <v>45777</v>
      </c>
      <c r="F59" t="s">
        <v>114</v>
      </c>
      <c r="G59">
        <v>43.2</v>
      </c>
      <c r="H59">
        <f t="shared" si="0"/>
        <v>0</v>
      </c>
      <c r="I59" t="str">
        <f t="shared" si="1"/>
        <v>Yes</v>
      </c>
      <c r="J59" t="str">
        <f t="shared" si="2"/>
        <v>Apr</v>
      </c>
    </row>
    <row r="60" spans="1:10" x14ac:dyDescent="0.25">
      <c r="A60" t="s">
        <v>65</v>
      </c>
      <c r="B60" t="s">
        <v>108</v>
      </c>
      <c r="C60" t="s">
        <v>113</v>
      </c>
      <c r="D60" s="2">
        <v>45750</v>
      </c>
      <c r="E60" s="2">
        <v>45751</v>
      </c>
      <c r="F60" t="s">
        <v>115</v>
      </c>
      <c r="G60">
        <v>33.1</v>
      </c>
      <c r="H60">
        <f t="shared" si="0"/>
        <v>1</v>
      </c>
      <c r="I60" t="str">
        <f t="shared" si="1"/>
        <v>No</v>
      </c>
      <c r="J60" t="str">
        <f t="shared" si="2"/>
        <v>Apr</v>
      </c>
    </row>
    <row r="61" spans="1:10" x14ac:dyDescent="0.25">
      <c r="A61" t="s">
        <v>66</v>
      </c>
      <c r="B61" t="s">
        <v>107</v>
      </c>
      <c r="C61" t="s">
        <v>112</v>
      </c>
      <c r="D61" s="2">
        <v>45762</v>
      </c>
      <c r="E61" s="2">
        <v>45762</v>
      </c>
      <c r="F61" t="s">
        <v>114</v>
      </c>
      <c r="G61">
        <v>5.8</v>
      </c>
      <c r="H61">
        <f t="shared" si="0"/>
        <v>0</v>
      </c>
      <c r="I61" t="str">
        <f t="shared" si="1"/>
        <v>Yes</v>
      </c>
      <c r="J61" t="str">
        <f t="shared" si="2"/>
        <v>Apr</v>
      </c>
    </row>
    <row r="62" spans="1:10" x14ac:dyDescent="0.25">
      <c r="A62" t="s">
        <v>67</v>
      </c>
      <c r="B62" t="s">
        <v>109</v>
      </c>
      <c r="C62" t="s">
        <v>111</v>
      </c>
      <c r="D62" s="2">
        <v>45773</v>
      </c>
      <c r="E62" s="2">
        <v>45776</v>
      </c>
      <c r="F62" t="s">
        <v>115</v>
      </c>
      <c r="G62">
        <v>27.3</v>
      </c>
      <c r="H62">
        <f t="shared" si="0"/>
        <v>3</v>
      </c>
      <c r="I62" t="str">
        <f t="shared" si="1"/>
        <v>No</v>
      </c>
      <c r="J62" t="str">
        <f t="shared" si="2"/>
        <v>Apr</v>
      </c>
    </row>
    <row r="63" spans="1:10" x14ac:dyDescent="0.25">
      <c r="A63" t="s">
        <v>68</v>
      </c>
      <c r="B63" t="s">
        <v>109</v>
      </c>
      <c r="C63" t="s">
        <v>112</v>
      </c>
      <c r="D63" s="2">
        <v>45775</v>
      </c>
      <c r="E63" s="2">
        <v>45778</v>
      </c>
      <c r="F63" t="s">
        <v>115</v>
      </c>
      <c r="G63">
        <v>20.100000000000001</v>
      </c>
      <c r="H63">
        <f t="shared" si="0"/>
        <v>3</v>
      </c>
      <c r="I63" t="str">
        <f t="shared" si="1"/>
        <v>No</v>
      </c>
      <c r="J63" t="str">
        <f t="shared" si="2"/>
        <v>Apr</v>
      </c>
    </row>
    <row r="64" spans="1:10" x14ac:dyDescent="0.25">
      <c r="A64" t="s">
        <v>69</v>
      </c>
      <c r="B64" t="s">
        <v>109</v>
      </c>
      <c r="C64" t="s">
        <v>113</v>
      </c>
      <c r="D64" s="2">
        <v>45775</v>
      </c>
      <c r="E64" s="2">
        <v>45775</v>
      </c>
      <c r="F64" t="s">
        <v>114</v>
      </c>
      <c r="G64">
        <v>36.200000000000003</v>
      </c>
      <c r="H64">
        <f t="shared" si="0"/>
        <v>0</v>
      </c>
      <c r="I64" t="str">
        <f t="shared" si="1"/>
        <v>Yes</v>
      </c>
      <c r="J64" t="str">
        <f t="shared" si="2"/>
        <v>Apr</v>
      </c>
    </row>
    <row r="65" spans="1:10" x14ac:dyDescent="0.25">
      <c r="A65" t="s">
        <v>70</v>
      </c>
      <c r="B65" t="s">
        <v>110</v>
      </c>
      <c r="C65" t="s">
        <v>111</v>
      </c>
      <c r="D65" s="2">
        <v>45765</v>
      </c>
      <c r="E65" s="2">
        <v>45766</v>
      </c>
      <c r="F65" t="s">
        <v>115</v>
      </c>
      <c r="G65">
        <v>41.6</v>
      </c>
      <c r="H65">
        <f t="shared" si="0"/>
        <v>1</v>
      </c>
      <c r="I65" t="str">
        <f t="shared" si="1"/>
        <v>No</v>
      </c>
      <c r="J65" t="str">
        <f t="shared" si="2"/>
        <v>Apr</v>
      </c>
    </row>
    <row r="66" spans="1:10" x14ac:dyDescent="0.25">
      <c r="A66" t="s">
        <v>71</v>
      </c>
      <c r="B66" t="s">
        <v>110</v>
      </c>
      <c r="C66" t="s">
        <v>112</v>
      </c>
      <c r="D66" s="2">
        <v>45751</v>
      </c>
      <c r="E66" s="2">
        <v>45754</v>
      </c>
      <c r="F66" t="s">
        <v>115</v>
      </c>
      <c r="G66">
        <v>39.1</v>
      </c>
      <c r="H66">
        <f t="shared" si="0"/>
        <v>3</v>
      </c>
      <c r="I66" t="str">
        <f t="shared" si="1"/>
        <v>No</v>
      </c>
      <c r="J66" t="str">
        <f t="shared" si="2"/>
        <v>Apr</v>
      </c>
    </row>
    <row r="67" spans="1:10" x14ac:dyDescent="0.25">
      <c r="A67" t="s">
        <v>72</v>
      </c>
      <c r="B67" t="s">
        <v>108</v>
      </c>
      <c r="C67" t="s">
        <v>112</v>
      </c>
      <c r="D67" s="2">
        <v>45749</v>
      </c>
      <c r="E67" s="2">
        <v>45748</v>
      </c>
      <c r="F67" t="s">
        <v>114</v>
      </c>
      <c r="G67">
        <v>2.2000000000000002</v>
      </c>
      <c r="H67">
        <f t="shared" ref="H67:H101" si="3">E67-D67</f>
        <v>-1</v>
      </c>
      <c r="I67" t="str">
        <f t="shared" ref="I67:I101" si="4">IF(F67="On-Time", "Yes", "No")</f>
        <v>Yes</v>
      </c>
      <c r="J67" t="str">
        <f t="shared" ref="J67:J101" si="5">TEXT(D67, "mmm")</f>
        <v>Apr</v>
      </c>
    </row>
    <row r="68" spans="1:10" x14ac:dyDescent="0.25">
      <c r="A68" t="s">
        <v>73</v>
      </c>
      <c r="B68" t="s">
        <v>109</v>
      </c>
      <c r="C68" t="s">
        <v>111</v>
      </c>
      <c r="D68" s="2">
        <v>45768</v>
      </c>
      <c r="E68" s="2">
        <v>45768</v>
      </c>
      <c r="F68" t="s">
        <v>114</v>
      </c>
      <c r="G68">
        <v>44.5</v>
      </c>
      <c r="H68">
        <f t="shared" si="3"/>
        <v>0</v>
      </c>
      <c r="I68" t="str">
        <f t="shared" si="4"/>
        <v>Yes</v>
      </c>
      <c r="J68" t="str">
        <f t="shared" si="5"/>
        <v>Apr</v>
      </c>
    </row>
    <row r="69" spans="1:10" x14ac:dyDescent="0.25">
      <c r="A69" t="s">
        <v>74</v>
      </c>
      <c r="B69" t="s">
        <v>108</v>
      </c>
      <c r="C69" t="s">
        <v>113</v>
      </c>
      <c r="D69" s="2">
        <v>45765</v>
      </c>
      <c r="E69" s="2">
        <v>45768</v>
      </c>
      <c r="F69" t="s">
        <v>115</v>
      </c>
      <c r="G69">
        <v>44.7</v>
      </c>
      <c r="H69">
        <f t="shared" si="3"/>
        <v>3</v>
      </c>
      <c r="I69" t="str">
        <f t="shared" si="4"/>
        <v>No</v>
      </c>
      <c r="J69" t="str">
        <f t="shared" si="5"/>
        <v>Apr</v>
      </c>
    </row>
    <row r="70" spans="1:10" x14ac:dyDescent="0.25">
      <c r="A70" t="s">
        <v>75</v>
      </c>
      <c r="B70" t="s">
        <v>107</v>
      </c>
      <c r="C70" t="s">
        <v>112</v>
      </c>
      <c r="D70" s="2">
        <v>45774</v>
      </c>
      <c r="E70" s="2">
        <v>45777</v>
      </c>
      <c r="F70" t="s">
        <v>115</v>
      </c>
      <c r="G70">
        <v>32.5</v>
      </c>
      <c r="H70">
        <f t="shared" si="3"/>
        <v>3</v>
      </c>
      <c r="I70" t="str">
        <f t="shared" si="4"/>
        <v>No</v>
      </c>
      <c r="J70" t="str">
        <f t="shared" si="5"/>
        <v>Apr</v>
      </c>
    </row>
    <row r="71" spans="1:10" x14ac:dyDescent="0.25">
      <c r="A71" t="s">
        <v>76</v>
      </c>
      <c r="B71" t="s">
        <v>109</v>
      </c>
      <c r="C71" t="s">
        <v>112</v>
      </c>
      <c r="D71" s="2">
        <v>45748</v>
      </c>
      <c r="E71" s="2">
        <v>45748</v>
      </c>
      <c r="F71" t="s">
        <v>114</v>
      </c>
      <c r="G71">
        <v>39.1</v>
      </c>
      <c r="H71">
        <f t="shared" si="3"/>
        <v>0</v>
      </c>
      <c r="I71" t="str">
        <f t="shared" si="4"/>
        <v>Yes</v>
      </c>
      <c r="J71" t="str">
        <f t="shared" si="5"/>
        <v>Apr</v>
      </c>
    </row>
    <row r="72" spans="1:10" x14ac:dyDescent="0.25">
      <c r="A72" t="s">
        <v>77</v>
      </c>
      <c r="B72" t="s">
        <v>107</v>
      </c>
      <c r="C72" t="s">
        <v>112</v>
      </c>
      <c r="D72" s="2">
        <v>45750</v>
      </c>
      <c r="E72" s="2">
        <v>45752</v>
      </c>
      <c r="F72" t="s">
        <v>115</v>
      </c>
      <c r="G72">
        <v>8.5</v>
      </c>
      <c r="H72">
        <f t="shared" si="3"/>
        <v>2</v>
      </c>
      <c r="I72" t="str">
        <f t="shared" si="4"/>
        <v>No</v>
      </c>
      <c r="J72" t="str">
        <f t="shared" si="5"/>
        <v>Apr</v>
      </c>
    </row>
    <row r="73" spans="1:10" x14ac:dyDescent="0.25">
      <c r="A73" t="s">
        <v>78</v>
      </c>
      <c r="B73" t="s">
        <v>108</v>
      </c>
      <c r="C73" t="s">
        <v>113</v>
      </c>
      <c r="D73" s="2">
        <v>45777</v>
      </c>
      <c r="E73" s="2">
        <v>45777</v>
      </c>
      <c r="F73" t="s">
        <v>114</v>
      </c>
      <c r="G73">
        <v>6.1</v>
      </c>
      <c r="H73">
        <f t="shared" si="3"/>
        <v>0</v>
      </c>
      <c r="I73" t="str">
        <f t="shared" si="4"/>
        <v>Yes</v>
      </c>
      <c r="J73" t="str">
        <f t="shared" si="5"/>
        <v>Apr</v>
      </c>
    </row>
    <row r="74" spans="1:10" x14ac:dyDescent="0.25">
      <c r="A74" t="s">
        <v>79</v>
      </c>
      <c r="B74" t="s">
        <v>110</v>
      </c>
      <c r="C74" t="s">
        <v>112</v>
      </c>
      <c r="D74" s="2">
        <v>45772</v>
      </c>
      <c r="E74" s="2">
        <v>45775</v>
      </c>
      <c r="F74" t="s">
        <v>115</v>
      </c>
      <c r="G74">
        <v>2.8</v>
      </c>
      <c r="H74">
        <f t="shared" si="3"/>
        <v>3</v>
      </c>
      <c r="I74" t="str">
        <f t="shared" si="4"/>
        <v>No</v>
      </c>
      <c r="J74" t="str">
        <f t="shared" si="5"/>
        <v>Apr</v>
      </c>
    </row>
    <row r="75" spans="1:10" x14ac:dyDescent="0.25">
      <c r="A75" t="s">
        <v>80</v>
      </c>
      <c r="B75" t="s">
        <v>108</v>
      </c>
      <c r="C75" t="s">
        <v>111</v>
      </c>
      <c r="D75" s="2">
        <v>45775</v>
      </c>
      <c r="E75" s="2">
        <v>45774</v>
      </c>
      <c r="F75" t="s">
        <v>114</v>
      </c>
      <c r="G75">
        <v>11.5</v>
      </c>
      <c r="H75">
        <f t="shared" si="3"/>
        <v>-1</v>
      </c>
      <c r="I75" t="str">
        <f t="shared" si="4"/>
        <v>Yes</v>
      </c>
      <c r="J75" t="str">
        <f t="shared" si="5"/>
        <v>Apr</v>
      </c>
    </row>
    <row r="76" spans="1:10" x14ac:dyDescent="0.25">
      <c r="A76" t="s">
        <v>81</v>
      </c>
      <c r="B76" t="s">
        <v>107</v>
      </c>
      <c r="C76" t="s">
        <v>111</v>
      </c>
      <c r="D76" s="2">
        <v>45755</v>
      </c>
      <c r="E76" s="2">
        <v>45758</v>
      </c>
      <c r="F76" t="s">
        <v>115</v>
      </c>
      <c r="G76">
        <v>44.2</v>
      </c>
      <c r="H76">
        <f t="shared" si="3"/>
        <v>3</v>
      </c>
      <c r="I76" t="str">
        <f t="shared" si="4"/>
        <v>No</v>
      </c>
      <c r="J76" t="str">
        <f t="shared" si="5"/>
        <v>Apr</v>
      </c>
    </row>
    <row r="77" spans="1:10" x14ac:dyDescent="0.25">
      <c r="A77" t="s">
        <v>82</v>
      </c>
      <c r="B77" t="s">
        <v>109</v>
      </c>
      <c r="C77" t="s">
        <v>112</v>
      </c>
      <c r="D77" s="2">
        <v>45753</v>
      </c>
      <c r="E77" s="2">
        <v>45755</v>
      </c>
      <c r="F77" t="s">
        <v>115</v>
      </c>
      <c r="G77">
        <v>15.3</v>
      </c>
      <c r="H77">
        <f t="shared" si="3"/>
        <v>2</v>
      </c>
      <c r="I77" t="str">
        <f t="shared" si="4"/>
        <v>No</v>
      </c>
      <c r="J77" t="str">
        <f t="shared" si="5"/>
        <v>Apr</v>
      </c>
    </row>
    <row r="78" spans="1:10" x14ac:dyDescent="0.25">
      <c r="A78" t="s">
        <v>83</v>
      </c>
      <c r="B78" t="s">
        <v>108</v>
      </c>
      <c r="C78" t="s">
        <v>112</v>
      </c>
      <c r="D78" s="2">
        <v>45761</v>
      </c>
      <c r="E78" s="2">
        <v>45764</v>
      </c>
      <c r="F78" t="s">
        <v>115</v>
      </c>
      <c r="G78">
        <v>42</v>
      </c>
      <c r="H78">
        <f t="shared" si="3"/>
        <v>3</v>
      </c>
      <c r="I78" t="str">
        <f t="shared" si="4"/>
        <v>No</v>
      </c>
      <c r="J78" t="str">
        <f t="shared" si="5"/>
        <v>Apr</v>
      </c>
    </row>
    <row r="79" spans="1:10" x14ac:dyDescent="0.25">
      <c r="A79" t="s">
        <v>84</v>
      </c>
      <c r="B79" t="s">
        <v>109</v>
      </c>
      <c r="C79" t="s">
        <v>111</v>
      </c>
      <c r="D79" s="2">
        <v>45763</v>
      </c>
      <c r="E79" s="2">
        <v>45764</v>
      </c>
      <c r="F79" t="s">
        <v>115</v>
      </c>
      <c r="G79">
        <v>2.1</v>
      </c>
      <c r="H79">
        <f t="shared" si="3"/>
        <v>1</v>
      </c>
      <c r="I79" t="str">
        <f t="shared" si="4"/>
        <v>No</v>
      </c>
      <c r="J79" t="str">
        <f t="shared" si="5"/>
        <v>Apr</v>
      </c>
    </row>
    <row r="80" spans="1:10" x14ac:dyDescent="0.25">
      <c r="A80" t="s">
        <v>85</v>
      </c>
      <c r="B80" t="s">
        <v>110</v>
      </c>
      <c r="C80" t="s">
        <v>111</v>
      </c>
      <c r="D80" s="2">
        <v>45763</v>
      </c>
      <c r="E80" s="2">
        <v>45764</v>
      </c>
      <c r="F80" t="s">
        <v>115</v>
      </c>
      <c r="G80">
        <v>19.7</v>
      </c>
      <c r="H80">
        <f t="shared" si="3"/>
        <v>1</v>
      </c>
      <c r="I80" t="str">
        <f t="shared" si="4"/>
        <v>No</v>
      </c>
      <c r="J80" t="str">
        <f t="shared" si="5"/>
        <v>Apr</v>
      </c>
    </row>
    <row r="81" spans="1:10" x14ac:dyDescent="0.25">
      <c r="A81" t="s">
        <v>86</v>
      </c>
      <c r="B81" t="s">
        <v>110</v>
      </c>
      <c r="C81" t="s">
        <v>112</v>
      </c>
      <c r="D81" s="2">
        <v>45754</v>
      </c>
      <c r="E81" s="2">
        <v>45756</v>
      </c>
      <c r="F81" t="s">
        <v>115</v>
      </c>
      <c r="G81">
        <v>41.6</v>
      </c>
      <c r="H81">
        <f t="shared" si="3"/>
        <v>2</v>
      </c>
      <c r="I81" t="str">
        <f t="shared" si="4"/>
        <v>No</v>
      </c>
      <c r="J81" t="str">
        <f t="shared" si="5"/>
        <v>Apr</v>
      </c>
    </row>
    <row r="82" spans="1:10" x14ac:dyDescent="0.25">
      <c r="A82" t="s">
        <v>87</v>
      </c>
      <c r="B82" t="s">
        <v>110</v>
      </c>
      <c r="C82" t="s">
        <v>111</v>
      </c>
      <c r="D82" s="2">
        <v>45775</v>
      </c>
      <c r="E82" s="2">
        <v>45778</v>
      </c>
      <c r="F82" t="s">
        <v>115</v>
      </c>
      <c r="G82">
        <v>14.1</v>
      </c>
      <c r="H82">
        <f t="shared" si="3"/>
        <v>3</v>
      </c>
      <c r="I82" t="str">
        <f t="shared" si="4"/>
        <v>No</v>
      </c>
      <c r="J82" t="str">
        <f t="shared" si="5"/>
        <v>Apr</v>
      </c>
    </row>
    <row r="83" spans="1:10" x14ac:dyDescent="0.25">
      <c r="A83" t="s">
        <v>88</v>
      </c>
      <c r="B83" t="s">
        <v>109</v>
      </c>
      <c r="C83" t="s">
        <v>113</v>
      </c>
      <c r="D83" s="2">
        <v>45760</v>
      </c>
      <c r="E83" s="2">
        <v>45760</v>
      </c>
      <c r="F83" t="s">
        <v>114</v>
      </c>
      <c r="G83">
        <v>24.9</v>
      </c>
      <c r="H83">
        <f t="shared" si="3"/>
        <v>0</v>
      </c>
      <c r="I83" t="str">
        <f t="shared" si="4"/>
        <v>Yes</v>
      </c>
      <c r="J83" t="str">
        <f t="shared" si="5"/>
        <v>Apr</v>
      </c>
    </row>
    <row r="84" spans="1:10" x14ac:dyDescent="0.25">
      <c r="A84" t="s">
        <v>89</v>
      </c>
      <c r="B84" t="s">
        <v>108</v>
      </c>
      <c r="C84" t="s">
        <v>113</v>
      </c>
      <c r="D84" s="2">
        <v>45776</v>
      </c>
      <c r="E84" s="2">
        <v>45776</v>
      </c>
      <c r="F84" t="s">
        <v>114</v>
      </c>
      <c r="G84">
        <v>47.1</v>
      </c>
      <c r="H84">
        <f t="shared" si="3"/>
        <v>0</v>
      </c>
      <c r="I84" t="str">
        <f t="shared" si="4"/>
        <v>Yes</v>
      </c>
      <c r="J84" t="str">
        <f t="shared" si="5"/>
        <v>Apr</v>
      </c>
    </row>
    <row r="85" spans="1:10" x14ac:dyDescent="0.25">
      <c r="A85" t="s">
        <v>90</v>
      </c>
      <c r="B85" t="s">
        <v>109</v>
      </c>
      <c r="C85" t="s">
        <v>113</v>
      </c>
      <c r="D85" s="2">
        <v>45749</v>
      </c>
      <c r="E85" s="2">
        <v>45749</v>
      </c>
      <c r="F85" t="s">
        <v>114</v>
      </c>
      <c r="G85">
        <v>16.600000000000001</v>
      </c>
      <c r="H85">
        <f t="shared" si="3"/>
        <v>0</v>
      </c>
      <c r="I85" t="str">
        <f t="shared" si="4"/>
        <v>Yes</v>
      </c>
      <c r="J85" t="str">
        <f t="shared" si="5"/>
        <v>Apr</v>
      </c>
    </row>
    <row r="86" spans="1:10" x14ac:dyDescent="0.25">
      <c r="A86" t="s">
        <v>91</v>
      </c>
      <c r="B86" t="s">
        <v>109</v>
      </c>
      <c r="C86" t="s">
        <v>113</v>
      </c>
      <c r="D86" s="2">
        <v>45753</v>
      </c>
      <c r="E86" s="2">
        <v>45753</v>
      </c>
      <c r="F86" t="s">
        <v>114</v>
      </c>
      <c r="G86">
        <v>6.4</v>
      </c>
      <c r="H86">
        <f t="shared" si="3"/>
        <v>0</v>
      </c>
      <c r="I86" t="str">
        <f t="shared" si="4"/>
        <v>Yes</v>
      </c>
      <c r="J86" t="str">
        <f t="shared" si="5"/>
        <v>Apr</v>
      </c>
    </row>
    <row r="87" spans="1:10" x14ac:dyDescent="0.25">
      <c r="A87" t="s">
        <v>92</v>
      </c>
      <c r="B87" t="s">
        <v>108</v>
      </c>
      <c r="C87" t="s">
        <v>111</v>
      </c>
      <c r="D87" s="2">
        <v>45760</v>
      </c>
      <c r="E87" s="2">
        <v>45762</v>
      </c>
      <c r="F87" t="s">
        <v>115</v>
      </c>
      <c r="G87">
        <v>9.4</v>
      </c>
      <c r="H87">
        <f t="shared" si="3"/>
        <v>2</v>
      </c>
      <c r="I87" t="str">
        <f t="shared" si="4"/>
        <v>No</v>
      </c>
      <c r="J87" t="str">
        <f t="shared" si="5"/>
        <v>Apr</v>
      </c>
    </row>
    <row r="88" spans="1:10" x14ac:dyDescent="0.25">
      <c r="A88" t="s">
        <v>93</v>
      </c>
      <c r="B88" t="s">
        <v>110</v>
      </c>
      <c r="C88" t="s">
        <v>113</v>
      </c>
      <c r="D88" s="2">
        <v>45748</v>
      </c>
      <c r="E88" s="2">
        <v>45750</v>
      </c>
      <c r="F88" t="s">
        <v>115</v>
      </c>
      <c r="G88">
        <v>2.8</v>
      </c>
      <c r="H88">
        <f t="shared" si="3"/>
        <v>2</v>
      </c>
      <c r="I88" t="str">
        <f t="shared" si="4"/>
        <v>No</v>
      </c>
      <c r="J88" t="str">
        <f t="shared" si="5"/>
        <v>Apr</v>
      </c>
    </row>
    <row r="89" spans="1:10" x14ac:dyDescent="0.25">
      <c r="A89" t="s">
        <v>94</v>
      </c>
      <c r="B89" t="s">
        <v>110</v>
      </c>
      <c r="C89" t="s">
        <v>112</v>
      </c>
      <c r="D89" s="2">
        <v>45760</v>
      </c>
      <c r="E89" s="2">
        <v>45760</v>
      </c>
      <c r="F89" t="s">
        <v>114</v>
      </c>
      <c r="G89">
        <v>21.4</v>
      </c>
      <c r="H89">
        <f t="shared" si="3"/>
        <v>0</v>
      </c>
      <c r="I89" t="str">
        <f t="shared" si="4"/>
        <v>Yes</v>
      </c>
      <c r="J89" t="str">
        <f t="shared" si="5"/>
        <v>Apr</v>
      </c>
    </row>
    <row r="90" spans="1:10" x14ac:dyDescent="0.25">
      <c r="A90" t="s">
        <v>95</v>
      </c>
      <c r="B90" t="s">
        <v>108</v>
      </c>
      <c r="C90" t="s">
        <v>112</v>
      </c>
      <c r="D90" s="2">
        <v>45756</v>
      </c>
      <c r="E90" s="2">
        <v>45756</v>
      </c>
      <c r="F90" t="s">
        <v>114</v>
      </c>
      <c r="G90">
        <v>38</v>
      </c>
      <c r="H90">
        <f t="shared" si="3"/>
        <v>0</v>
      </c>
      <c r="I90" t="str">
        <f t="shared" si="4"/>
        <v>Yes</v>
      </c>
      <c r="J90" t="str">
        <f t="shared" si="5"/>
        <v>Apr</v>
      </c>
    </row>
    <row r="91" spans="1:10" x14ac:dyDescent="0.25">
      <c r="A91" t="s">
        <v>96</v>
      </c>
      <c r="B91" t="s">
        <v>109</v>
      </c>
      <c r="C91" t="s">
        <v>113</v>
      </c>
      <c r="D91" s="2">
        <v>45777</v>
      </c>
      <c r="E91" s="2">
        <v>45776</v>
      </c>
      <c r="F91" t="s">
        <v>114</v>
      </c>
      <c r="G91">
        <v>29.5</v>
      </c>
      <c r="H91">
        <f t="shared" si="3"/>
        <v>-1</v>
      </c>
      <c r="I91" t="str">
        <f t="shared" si="4"/>
        <v>Yes</v>
      </c>
      <c r="J91" t="str">
        <f t="shared" si="5"/>
        <v>Apr</v>
      </c>
    </row>
    <row r="92" spans="1:10" x14ac:dyDescent="0.25">
      <c r="A92" t="s">
        <v>97</v>
      </c>
      <c r="B92" t="s">
        <v>109</v>
      </c>
      <c r="C92" t="s">
        <v>112</v>
      </c>
      <c r="D92" s="2">
        <v>45773</v>
      </c>
      <c r="E92" s="2">
        <v>45773</v>
      </c>
      <c r="F92" t="s">
        <v>114</v>
      </c>
      <c r="G92">
        <v>6.4</v>
      </c>
      <c r="H92">
        <f t="shared" si="3"/>
        <v>0</v>
      </c>
      <c r="I92" t="str">
        <f t="shared" si="4"/>
        <v>Yes</v>
      </c>
      <c r="J92" t="str">
        <f t="shared" si="5"/>
        <v>Apr</v>
      </c>
    </row>
    <row r="93" spans="1:10" x14ac:dyDescent="0.25">
      <c r="A93" t="s">
        <v>98</v>
      </c>
      <c r="B93" t="s">
        <v>110</v>
      </c>
      <c r="C93" t="s">
        <v>113</v>
      </c>
      <c r="D93" s="2">
        <v>45773</v>
      </c>
      <c r="E93" s="2">
        <v>45773</v>
      </c>
      <c r="F93" t="s">
        <v>114</v>
      </c>
      <c r="G93">
        <v>9.9</v>
      </c>
      <c r="H93">
        <f t="shared" si="3"/>
        <v>0</v>
      </c>
      <c r="I93" t="str">
        <f t="shared" si="4"/>
        <v>Yes</v>
      </c>
      <c r="J93" t="str">
        <f t="shared" si="5"/>
        <v>Apr</v>
      </c>
    </row>
    <row r="94" spans="1:10" x14ac:dyDescent="0.25">
      <c r="A94" t="s">
        <v>99</v>
      </c>
      <c r="B94" t="s">
        <v>107</v>
      </c>
      <c r="C94" t="s">
        <v>113</v>
      </c>
      <c r="D94" s="2">
        <v>45762</v>
      </c>
      <c r="E94" s="2">
        <v>45762</v>
      </c>
      <c r="F94" t="s">
        <v>114</v>
      </c>
      <c r="G94">
        <v>34.299999999999997</v>
      </c>
      <c r="H94">
        <f t="shared" si="3"/>
        <v>0</v>
      </c>
      <c r="I94" t="str">
        <f t="shared" si="4"/>
        <v>Yes</v>
      </c>
      <c r="J94" t="str">
        <f t="shared" si="5"/>
        <v>Apr</v>
      </c>
    </row>
    <row r="95" spans="1:10" x14ac:dyDescent="0.25">
      <c r="A95" t="s">
        <v>100</v>
      </c>
      <c r="B95" t="s">
        <v>107</v>
      </c>
      <c r="C95" t="s">
        <v>113</v>
      </c>
      <c r="D95" s="2">
        <v>45757</v>
      </c>
      <c r="E95" s="2">
        <v>45757</v>
      </c>
      <c r="F95" t="s">
        <v>114</v>
      </c>
      <c r="G95">
        <v>25.4</v>
      </c>
      <c r="H95">
        <f t="shared" si="3"/>
        <v>0</v>
      </c>
      <c r="I95" t="str">
        <f t="shared" si="4"/>
        <v>Yes</v>
      </c>
      <c r="J95" t="str">
        <f t="shared" si="5"/>
        <v>Apr</v>
      </c>
    </row>
    <row r="96" spans="1:10" x14ac:dyDescent="0.25">
      <c r="A96" t="s">
        <v>101</v>
      </c>
      <c r="B96" t="s">
        <v>107</v>
      </c>
      <c r="C96" t="s">
        <v>112</v>
      </c>
      <c r="D96" s="2">
        <v>45761</v>
      </c>
      <c r="E96" s="2">
        <v>45764</v>
      </c>
      <c r="F96" t="s">
        <v>115</v>
      </c>
      <c r="G96">
        <v>26.3</v>
      </c>
      <c r="H96">
        <f t="shared" si="3"/>
        <v>3</v>
      </c>
      <c r="I96" t="str">
        <f t="shared" si="4"/>
        <v>No</v>
      </c>
      <c r="J96" t="str">
        <f t="shared" si="5"/>
        <v>Apr</v>
      </c>
    </row>
    <row r="97" spans="1:10" x14ac:dyDescent="0.25">
      <c r="A97" t="s">
        <v>102</v>
      </c>
      <c r="B97" t="s">
        <v>109</v>
      </c>
      <c r="C97" t="s">
        <v>112</v>
      </c>
      <c r="D97" s="2">
        <v>45770</v>
      </c>
      <c r="E97" s="2">
        <v>45770</v>
      </c>
      <c r="F97" t="s">
        <v>114</v>
      </c>
      <c r="G97">
        <v>45.2</v>
      </c>
      <c r="H97">
        <f t="shared" si="3"/>
        <v>0</v>
      </c>
      <c r="I97" t="str">
        <f t="shared" si="4"/>
        <v>Yes</v>
      </c>
      <c r="J97" t="str">
        <f t="shared" si="5"/>
        <v>Apr</v>
      </c>
    </row>
    <row r="98" spans="1:10" x14ac:dyDescent="0.25">
      <c r="A98" t="s">
        <v>103</v>
      </c>
      <c r="B98" t="s">
        <v>109</v>
      </c>
      <c r="C98" t="s">
        <v>113</v>
      </c>
      <c r="D98" s="2">
        <v>45771</v>
      </c>
      <c r="E98" s="2">
        <v>45771</v>
      </c>
      <c r="F98" t="s">
        <v>114</v>
      </c>
      <c r="G98">
        <v>32.5</v>
      </c>
      <c r="H98">
        <f t="shared" si="3"/>
        <v>0</v>
      </c>
      <c r="I98" t="str">
        <f t="shared" si="4"/>
        <v>Yes</v>
      </c>
      <c r="J98" t="str">
        <f t="shared" si="5"/>
        <v>Apr</v>
      </c>
    </row>
    <row r="99" spans="1:10" x14ac:dyDescent="0.25">
      <c r="A99" t="s">
        <v>104</v>
      </c>
      <c r="B99" t="s">
        <v>110</v>
      </c>
      <c r="C99" t="s">
        <v>113</v>
      </c>
      <c r="D99" s="2">
        <v>45773</v>
      </c>
      <c r="E99" s="2">
        <v>45775</v>
      </c>
      <c r="F99" t="s">
        <v>115</v>
      </c>
      <c r="G99">
        <v>21.3</v>
      </c>
      <c r="H99">
        <f t="shared" si="3"/>
        <v>2</v>
      </c>
      <c r="I99" t="str">
        <f t="shared" si="4"/>
        <v>No</v>
      </c>
      <c r="J99" t="str">
        <f t="shared" si="5"/>
        <v>Apr</v>
      </c>
    </row>
    <row r="100" spans="1:10" x14ac:dyDescent="0.25">
      <c r="A100" t="s">
        <v>105</v>
      </c>
      <c r="B100" t="s">
        <v>107</v>
      </c>
      <c r="C100" t="s">
        <v>113</v>
      </c>
      <c r="D100" s="2">
        <v>45765</v>
      </c>
      <c r="E100" s="2">
        <v>45765</v>
      </c>
      <c r="F100" t="s">
        <v>114</v>
      </c>
      <c r="G100">
        <v>44.3</v>
      </c>
      <c r="H100">
        <f t="shared" si="3"/>
        <v>0</v>
      </c>
      <c r="I100" t="str">
        <f t="shared" si="4"/>
        <v>Yes</v>
      </c>
      <c r="J100" t="str">
        <f t="shared" si="5"/>
        <v>Apr</v>
      </c>
    </row>
    <row r="101" spans="1:10" x14ac:dyDescent="0.25">
      <c r="A101" t="s">
        <v>106</v>
      </c>
      <c r="B101" t="s">
        <v>110</v>
      </c>
      <c r="C101" t="s">
        <v>113</v>
      </c>
      <c r="D101" s="2">
        <v>45769</v>
      </c>
      <c r="E101" s="2">
        <v>45769</v>
      </c>
      <c r="F101" t="s">
        <v>114</v>
      </c>
      <c r="G101">
        <v>15.8</v>
      </c>
      <c r="H101">
        <f t="shared" si="3"/>
        <v>0</v>
      </c>
      <c r="I101" t="str">
        <f t="shared" si="4"/>
        <v>Yes</v>
      </c>
      <c r="J101" t="str">
        <f t="shared" si="5"/>
        <v>Apr</v>
      </c>
    </row>
  </sheetData>
  <sheetProtection password="8382"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E23"/>
  <sheetViews>
    <sheetView topLeftCell="A7" workbookViewId="0">
      <selection activeCell="M22" sqref="M22"/>
    </sheetView>
  </sheetViews>
  <sheetFormatPr defaultRowHeight="15" x14ac:dyDescent="0.25"/>
  <cols>
    <col min="2" max="2" width="19" customWidth="1"/>
    <col min="3" max="3" width="16.28515625" customWidth="1"/>
    <col min="4" max="4" width="8.7109375" customWidth="1"/>
    <col min="5" max="5" width="11.28515625" bestFit="1" customWidth="1"/>
  </cols>
  <sheetData>
    <row r="3" spans="2:5" x14ac:dyDescent="0.25">
      <c r="B3" s="4" t="s">
        <v>122</v>
      </c>
      <c r="C3" s="4" t="s">
        <v>121</v>
      </c>
    </row>
    <row r="4" spans="2:5" x14ac:dyDescent="0.25">
      <c r="B4" s="4" t="s">
        <v>119</v>
      </c>
      <c r="C4" t="s">
        <v>115</v>
      </c>
      <c r="D4" t="s">
        <v>114</v>
      </c>
      <c r="E4" t="s">
        <v>120</v>
      </c>
    </row>
    <row r="5" spans="2:5" x14ac:dyDescent="0.25">
      <c r="B5" s="5" t="s">
        <v>108</v>
      </c>
      <c r="C5" s="6">
        <v>6</v>
      </c>
      <c r="D5" s="6">
        <v>18</v>
      </c>
      <c r="E5" s="6">
        <v>24</v>
      </c>
    </row>
    <row r="6" spans="2:5" x14ac:dyDescent="0.25">
      <c r="B6" s="5" t="s">
        <v>107</v>
      </c>
      <c r="C6" s="6">
        <v>13</v>
      </c>
      <c r="D6" s="6">
        <v>14</v>
      </c>
      <c r="E6" s="6">
        <v>27</v>
      </c>
    </row>
    <row r="7" spans="2:5" x14ac:dyDescent="0.25">
      <c r="B7" s="5" t="s">
        <v>109</v>
      </c>
      <c r="C7" s="6">
        <v>12</v>
      </c>
      <c r="D7" s="6">
        <v>17</v>
      </c>
      <c r="E7" s="6">
        <v>29</v>
      </c>
    </row>
    <row r="8" spans="2:5" x14ac:dyDescent="0.25">
      <c r="B8" s="5" t="s">
        <v>110</v>
      </c>
      <c r="C8" s="6">
        <v>10</v>
      </c>
      <c r="D8" s="6">
        <v>10</v>
      </c>
      <c r="E8" s="6">
        <v>20</v>
      </c>
    </row>
    <row r="9" spans="2:5" x14ac:dyDescent="0.25">
      <c r="B9" s="5" t="s">
        <v>120</v>
      </c>
      <c r="C9" s="6">
        <v>41</v>
      </c>
      <c r="D9" s="6">
        <v>59</v>
      </c>
      <c r="E9" s="6">
        <v>100</v>
      </c>
    </row>
    <row r="13" spans="2:5" x14ac:dyDescent="0.25">
      <c r="B13" s="4" t="s">
        <v>119</v>
      </c>
      <c r="C13" t="s">
        <v>123</v>
      </c>
    </row>
    <row r="14" spans="2:5" x14ac:dyDescent="0.25">
      <c r="B14" s="5" t="s">
        <v>113</v>
      </c>
      <c r="C14" s="6">
        <v>23.670270270270265</v>
      </c>
    </row>
    <row r="15" spans="2:5" x14ac:dyDescent="0.25">
      <c r="B15" s="5" t="s">
        <v>111</v>
      </c>
      <c r="C15" s="6">
        <v>24.900000000000006</v>
      </c>
    </row>
    <row r="16" spans="2:5" x14ac:dyDescent="0.25">
      <c r="B16" s="5" t="s">
        <v>112</v>
      </c>
      <c r="C16" s="6">
        <v>24.792105263157893</v>
      </c>
    </row>
    <row r="17" spans="2:4" x14ac:dyDescent="0.25">
      <c r="B17" s="5" t="s">
        <v>120</v>
      </c>
      <c r="C17" s="6">
        <v>24.404000000000014</v>
      </c>
    </row>
    <row r="21" spans="2:4" x14ac:dyDescent="0.25">
      <c r="B21" s="4" t="s">
        <v>119</v>
      </c>
      <c r="C21" t="s">
        <v>125</v>
      </c>
      <c r="D21" t="s">
        <v>126</v>
      </c>
    </row>
    <row r="22" spans="2:4" x14ac:dyDescent="0.25">
      <c r="B22" s="5" t="s">
        <v>124</v>
      </c>
      <c r="C22" s="6">
        <v>0.78</v>
      </c>
      <c r="D22" s="6">
        <v>100</v>
      </c>
    </row>
    <row r="23" spans="2:4" x14ac:dyDescent="0.25">
      <c r="B23" s="5" t="s">
        <v>120</v>
      </c>
      <c r="C23" s="6">
        <v>0.78</v>
      </c>
      <c r="D23" s="6">
        <v>100</v>
      </c>
    </row>
  </sheetData>
  <sheetProtection password="8382" sheet="1" objects="1" scenarios="1" autoFilter="0" pivotTables="0"/>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selection activeCell="F15" sqref="F15"/>
    </sheetView>
  </sheetViews>
  <sheetFormatPr defaultRowHeight="15" x14ac:dyDescent="0.25"/>
  <sheetData>
    <row r="1" spans="1:7" x14ac:dyDescent="0.25">
      <c r="A1" s="1" t="s">
        <v>0</v>
      </c>
      <c r="B1" s="1" t="s">
        <v>1</v>
      </c>
      <c r="C1" s="1" t="s">
        <v>2</v>
      </c>
      <c r="D1" s="1" t="s">
        <v>3</v>
      </c>
      <c r="E1" s="1" t="s">
        <v>4</v>
      </c>
      <c r="F1" s="1" t="s">
        <v>5</v>
      </c>
      <c r="G1" s="1" t="s">
        <v>6</v>
      </c>
    </row>
    <row r="2" spans="1:7" x14ac:dyDescent="0.25">
      <c r="A2" t="s">
        <v>7</v>
      </c>
      <c r="B2" t="s">
        <v>107</v>
      </c>
      <c r="C2" t="s">
        <v>111</v>
      </c>
      <c r="D2" s="2">
        <v>45775</v>
      </c>
      <c r="E2" s="2">
        <v>45775</v>
      </c>
      <c r="F2" t="s">
        <v>114</v>
      </c>
      <c r="G2">
        <v>23.9</v>
      </c>
    </row>
    <row r="3" spans="1:7" x14ac:dyDescent="0.25">
      <c r="A3" t="s">
        <v>8</v>
      </c>
      <c r="B3" t="s">
        <v>107</v>
      </c>
      <c r="C3" t="s">
        <v>112</v>
      </c>
      <c r="D3" s="2">
        <v>45758</v>
      </c>
      <c r="E3" s="2">
        <v>45759</v>
      </c>
      <c r="F3" t="s">
        <v>115</v>
      </c>
      <c r="G3">
        <v>14.9</v>
      </c>
    </row>
    <row r="4" spans="1:7" x14ac:dyDescent="0.25">
      <c r="A4" t="s">
        <v>9</v>
      </c>
      <c r="B4" t="s">
        <v>108</v>
      </c>
      <c r="C4" t="s">
        <v>111</v>
      </c>
      <c r="D4" s="2">
        <v>45750</v>
      </c>
      <c r="E4" s="2">
        <v>45750</v>
      </c>
      <c r="F4" t="s">
        <v>114</v>
      </c>
      <c r="G4">
        <v>28.2</v>
      </c>
    </row>
    <row r="5" spans="1:7" x14ac:dyDescent="0.25">
      <c r="A5" t="s">
        <v>10</v>
      </c>
      <c r="B5" t="s">
        <v>109</v>
      </c>
      <c r="C5" t="s">
        <v>112</v>
      </c>
      <c r="D5" s="2">
        <v>45764</v>
      </c>
      <c r="E5" s="2">
        <v>45764</v>
      </c>
      <c r="F5" t="s">
        <v>114</v>
      </c>
      <c r="G5">
        <v>3.9</v>
      </c>
    </row>
    <row r="6" spans="1:7" x14ac:dyDescent="0.25">
      <c r="A6" t="s">
        <v>11</v>
      </c>
      <c r="B6" t="s">
        <v>109</v>
      </c>
      <c r="C6" t="s">
        <v>111</v>
      </c>
      <c r="D6" s="2">
        <v>45755</v>
      </c>
      <c r="E6" s="2">
        <v>45757</v>
      </c>
      <c r="F6" t="s">
        <v>115</v>
      </c>
      <c r="G6">
        <v>3.7</v>
      </c>
    </row>
    <row r="7" spans="1:7" x14ac:dyDescent="0.25">
      <c r="A7" t="s">
        <v>12</v>
      </c>
      <c r="B7" t="s">
        <v>109</v>
      </c>
      <c r="C7" t="s">
        <v>112</v>
      </c>
      <c r="D7" s="2">
        <v>45756</v>
      </c>
      <c r="E7" s="2">
        <v>45756</v>
      </c>
      <c r="F7" t="s">
        <v>114</v>
      </c>
      <c r="G7">
        <v>23.4</v>
      </c>
    </row>
    <row r="8" spans="1:7" x14ac:dyDescent="0.25">
      <c r="A8" t="s">
        <v>13</v>
      </c>
      <c r="B8" t="s">
        <v>107</v>
      </c>
      <c r="C8" t="s">
        <v>113</v>
      </c>
      <c r="D8" s="2">
        <v>45769</v>
      </c>
      <c r="E8" s="2">
        <v>45772</v>
      </c>
      <c r="F8" t="s">
        <v>115</v>
      </c>
      <c r="G8">
        <v>26</v>
      </c>
    </row>
    <row r="9" spans="1:7" x14ac:dyDescent="0.25">
      <c r="A9" t="s">
        <v>14</v>
      </c>
      <c r="B9" t="s">
        <v>107</v>
      </c>
      <c r="C9" t="s">
        <v>112</v>
      </c>
      <c r="D9" s="2">
        <v>45763</v>
      </c>
      <c r="E9" s="2">
        <v>45763</v>
      </c>
      <c r="F9" t="s">
        <v>114</v>
      </c>
      <c r="G9">
        <v>46.2</v>
      </c>
    </row>
    <row r="10" spans="1:7" x14ac:dyDescent="0.25">
      <c r="A10" t="s">
        <v>15</v>
      </c>
      <c r="B10" t="s">
        <v>110</v>
      </c>
      <c r="C10" t="s">
        <v>112</v>
      </c>
      <c r="D10" s="2">
        <v>45754</v>
      </c>
      <c r="E10" s="2">
        <v>45754</v>
      </c>
      <c r="F10" t="s">
        <v>114</v>
      </c>
      <c r="G10">
        <v>41</v>
      </c>
    </row>
    <row r="11" spans="1:7" x14ac:dyDescent="0.25">
      <c r="A11" t="s">
        <v>16</v>
      </c>
      <c r="B11" t="s">
        <v>107</v>
      </c>
      <c r="C11" t="s">
        <v>113</v>
      </c>
      <c r="D11" s="2">
        <v>45765</v>
      </c>
      <c r="E11" s="2">
        <v>45765</v>
      </c>
      <c r="F11" t="s">
        <v>114</v>
      </c>
      <c r="G11">
        <v>29</v>
      </c>
    </row>
    <row r="12" spans="1:7" x14ac:dyDescent="0.25">
      <c r="A12" t="s">
        <v>17</v>
      </c>
      <c r="B12" t="s">
        <v>107</v>
      </c>
      <c r="C12" t="s">
        <v>112</v>
      </c>
      <c r="D12" s="2">
        <v>45752</v>
      </c>
      <c r="E12" s="2">
        <v>45752</v>
      </c>
      <c r="F12" t="s">
        <v>114</v>
      </c>
      <c r="G12">
        <v>41.5</v>
      </c>
    </row>
    <row r="13" spans="1:7" x14ac:dyDescent="0.25">
      <c r="A13" t="s">
        <v>18</v>
      </c>
      <c r="B13" t="s">
        <v>107</v>
      </c>
      <c r="C13" t="s">
        <v>112</v>
      </c>
      <c r="D13" s="2">
        <v>45771</v>
      </c>
      <c r="E13" s="2">
        <v>45770</v>
      </c>
      <c r="F13" t="s">
        <v>114</v>
      </c>
      <c r="G13">
        <v>6.6</v>
      </c>
    </row>
    <row r="14" spans="1:7" x14ac:dyDescent="0.25">
      <c r="A14" t="s">
        <v>19</v>
      </c>
      <c r="B14" t="s">
        <v>109</v>
      </c>
      <c r="C14" t="s">
        <v>111</v>
      </c>
      <c r="D14" s="2">
        <v>45777</v>
      </c>
      <c r="E14" s="2">
        <v>45777</v>
      </c>
      <c r="F14" t="s">
        <v>114</v>
      </c>
      <c r="G14">
        <v>12.6</v>
      </c>
    </row>
    <row r="15" spans="1:7" x14ac:dyDescent="0.25">
      <c r="A15" t="s">
        <v>20</v>
      </c>
      <c r="B15" t="s">
        <v>109</v>
      </c>
      <c r="C15" t="s">
        <v>112</v>
      </c>
      <c r="D15" s="2">
        <v>45776</v>
      </c>
      <c r="E15" s="2">
        <v>45776</v>
      </c>
      <c r="F15" t="s">
        <v>114</v>
      </c>
      <c r="G15">
        <v>2.9</v>
      </c>
    </row>
    <row r="16" spans="1:7" x14ac:dyDescent="0.25">
      <c r="A16" t="s">
        <v>21</v>
      </c>
      <c r="B16" t="s">
        <v>107</v>
      </c>
      <c r="C16" t="s">
        <v>111</v>
      </c>
      <c r="D16" s="2">
        <v>45766</v>
      </c>
      <c r="E16" s="2">
        <v>45766</v>
      </c>
      <c r="F16" t="s">
        <v>114</v>
      </c>
      <c r="G16">
        <v>20.7</v>
      </c>
    </row>
    <row r="17" spans="1:7" x14ac:dyDescent="0.25">
      <c r="A17" t="s">
        <v>22</v>
      </c>
      <c r="B17" t="s">
        <v>109</v>
      </c>
      <c r="C17" t="s">
        <v>113</v>
      </c>
      <c r="D17" s="2">
        <v>45766</v>
      </c>
      <c r="E17" s="2">
        <v>45766</v>
      </c>
      <c r="F17" t="s">
        <v>114</v>
      </c>
      <c r="G17">
        <v>27.6</v>
      </c>
    </row>
    <row r="18" spans="1:7" x14ac:dyDescent="0.25">
      <c r="A18" t="s">
        <v>23</v>
      </c>
      <c r="B18" t="s">
        <v>110</v>
      </c>
      <c r="C18" t="s">
        <v>111</v>
      </c>
      <c r="D18" s="2">
        <v>45763</v>
      </c>
      <c r="E18" s="2">
        <v>45765</v>
      </c>
      <c r="F18" t="s">
        <v>115</v>
      </c>
      <c r="G18">
        <v>44.9</v>
      </c>
    </row>
    <row r="19" spans="1:7" x14ac:dyDescent="0.25">
      <c r="A19" t="s">
        <v>24</v>
      </c>
      <c r="B19" t="s">
        <v>109</v>
      </c>
      <c r="C19" t="s">
        <v>111</v>
      </c>
      <c r="D19" s="2">
        <v>45755</v>
      </c>
      <c r="E19" s="2">
        <v>45756</v>
      </c>
      <c r="F19" t="s">
        <v>115</v>
      </c>
      <c r="G19">
        <v>32.5</v>
      </c>
    </row>
    <row r="20" spans="1:7" x14ac:dyDescent="0.25">
      <c r="A20" t="s">
        <v>25</v>
      </c>
      <c r="B20" t="s">
        <v>110</v>
      </c>
      <c r="C20" t="s">
        <v>113</v>
      </c>
      <c r="D20" s="2">
        <v>45773</v>
      </c>
      <c r="E20" s="2">
        <v>45775</v>
      </c>
      <c r="F20" t="s">
        <v>115</v>
      </c>
      <c r="G20">
        <v>12.2</v>
      </c>
    </row>
    <row r="21" spans="1:7" x14ac:dyDescent="0.25">
      <c r="A21" t="s">
        <v>26</v>
      </c>
      <c r="B21" t="s">
        <v>108</v>
      </c>
      <c r="C21" t="s">
        <v>111</v>
      </c>
      <c r="D21" s="2">
        <v>45763</v>
      </c>
      <c r="E21" s="2">
        <v>45762</v>
      </c>
      <c r="F21" t="s">
        <v>114</v>
      </c>
      <c r="G21">
        <v>7.2</v>
      </c>
    </row>
    <row r="22" spans="1:7" x14ac:dyDescent="0.25">
      <c r="A22" t="s">
        <v>27</v>
      </c>
      <c r="B22" t="s">
        <v>107</v>
      </c>
      <c r="C22" t="s">
        <v>113</v>
      </c>
      <c r="D22" s="2">
        <v>45773</v>
      </c>
      <c r="E22" s="2">
        <v>45773</v>
      </c>
      <c r="F22" t="s">
        <v>114</v>
      </c>
      <c r="G22">
        <v>15.1</v>
      </c>
    </row>
    <row r="23" spans="1:7" x14ac:dyDescent="0.25">
      <c r="A23" t="s">
        <v>28</v>
      </c>
      <c r="B23" t="s">
        <v>109</v>
      </c>
      <c r="C23" t="s">
        <v>112</v>
      </c>
      <c r="D23" s="2">
        <v>45761</v>
      </c>
      <c r="E23" s="2">
        <v>45763</v>
      </c>
      <c r="F23" t="s">
        <v>115</v>
      </c>
      <c r="G23">
        <v>44.7</v>
      </c>
    </row>
    <row r="24" spans="1:7" x14ac:dyDescent="0.25">
      <c r="A24" t="s">
        <v>29</v>
      </c>
      <c r="B24" t="s">
        <v>110</v>
      </c>
      <c r="C24" t="s">
        <v>112</v>
      </c>
      <c r="D24" s="2">
        <v>45754</v>
      </c>
      <c r="E24" s="2">
        <v>45754</v>
      </c>
      <c r="F24" t="s">
        <v>114</v>
      </c>
      <c r="G24">
        <v>1.4</v>
      </c>
    </row>
    <row r="25" spans="1:7" x14ac:dyDescent="0.25">
      <c r="A25" t="s">
        <v>30</v>
      </c>
      <c r="B25" t="s">
        <v>108</v>
      </c>
      <c r="C25" t="s">
        <v>111</v>
      </c>
      <c r="D25" s="2">
        <v>45751</v>
      </c>
      <c r="E25" s="2">
        <v>45751</v>
      </c>
      <c r="F25" t="s">
        <v>114</v>
      </c>
      <c r="G25">
        <v>47.9</v>
      </c>
    </row>
    <row r="26" spans="1:7" x14ac:dyDescent="0.25">
      <c r="A26" t="s">
        <v>31</v>
      </c>
      <c r="B26" t="s">
        <v>108</v>
      </c>
      <c r="C26" t="s">
        <v>112</v>
      </c>
      <c r="D26" s="2">
        <v>45751</v>
      </c>
      <c r="E26" s="2">
        <v>45751</v>
      </c>
      <c r="F26" t="s">
        <v>114</v>
      </c>
      <c r="G26">
        <v>4.4000000000000004</v>
      </c>
    </row>
    <row r="27" spans="1:7" x14ac:dyDescent="0.25">
      <c r="A27" t="s">
        <v>32</v>
      </c>
      <c r="B27" t="s">
        <v>109</v>
      </c>
      <c r="C27" t="s">
        <v>113</v>
      </c>
      <c r="D27" s="2">
        <v>45769</v>
      </c>
      <c r="E27" s="2">
        <v>45770</v>
      </c>
      <c r="F27" t="s">
        <v>115</v>
      </c>
      <c r="G27">
        <v>24.8</v>
      </c>
    </row>
    <row r="28" spans="1:7" x14ac:dyDescent="0.25">
      <c r="A28" t="s">
        <v>33</v>
      </c>
      <c r="B28" t="s">
        <v>109</v>
      </c>
      <c r="C28" t="s">
        <v>112</v>
      </c>
      <c r="D28" s="2">
        <v>45761</v>
      </c>
      <c r="E28" s="2">
        <v>45762</v>
      </c>
      <c r="F28" t="s">
        <v>115</v>
      </c>
      <c r="G28">
        <v>44.9</v>
      </c>
    </row>
    <row r="29" spans="1:7" x14ac:dyDescent="0.25">
      <c r="A29" t="s">
        <v>34</v>
      </c>
      <c r="B29" t="s">
        <v>108</v>
      </c>
      <c r="C29" t="s">
        <v>113</v>
      </c>
      <c r="D29" s="2">
        <v>45759</v>
      </c>
      <c r="E29" s="2">
        <v>45759</v>
      </c>
      <c r="F29" t="s">
        <v>114</v>
      </c>
      <c r="G29">
        <v>42.3</v>
      </c>
    </row>
    <row r="30" spans="1:7" x14ac:dyDescent="0.25">
      <c r="A30" t="s">
        <v>35</v>
      </c>
      <c r="B30" t="s">
        <v>107</v>
      </c>
      <c r="C30" t="s">
        <v>112</v>
      </c>
      <c r="D30" s="2">
        <v>45761</v>
      </c>
      <c r="E30" s="2">
        <v>45763</v>
      </c>
      <c r="F30" t="s">
        <v>115</v>
      </c>
      <c r="G30">
        <v>14.4</v>
      </c>
    </row>
    <row r="31" spans="1:7" x14ac:dyDescent="0.25">
      <c r="A31" t="s">
        <v>36</v>
      </c>
      <c r="B31" t="s">
        <v>107</v>
      </c>
      <c r="C31" t="s">
        <v>111</v>
      </c>
      <c r="D31" s="2">
        <v>45761</v>
      </c>
      <c r="E31" s="2">
        <v>45760</v>
      </c>
      <c r="F31" t="s">
        <v>114</v>
      </c>
      <c r="G31">
        <v>40.200000000000003</v>
      </c>
    </row>
    <row r="32" spans="1:7" x14ac:dyDescent="0.25">
      <c r="A32" t="s">
        <v>37</v>
      </c>
      <c r="B32" t="s">
        <v>110</v>
      </c>
      <c r="C32" t="s">
        <v>112</v>
      </c>
      <c r="D32" s="2">
        <v>45762</v>
      </c>
      <c r="E32" s="2">
        <v>45762</v>
      </c>
      <c r="F32" t="s">
        <v>114</v>
      </c>
      <c r="G32">
        <v>15.2</v>
      </c>
    </row>
    <row r="33" spans="1:7" x14ac:dyDescent="0.25">
      <c r="A33" t="s">
        <v>38</v>
      </c>
      <c r="B33" t="s">
        <v>107</v>
      </c>
      <c r="C33" t="s">
        <v>112</v>
      </c>
      <c r="D33" s="2">
        <v>45775</v>
      </c>
      <c r="E33" s="2">
        <v>45778</v>
      </c>
      <c r="F33" t="s">
        <v>115</v>
      </c>
      <c r="G33">
        <v>31.7</v>
      </c>
    </row>
    <row r="34" spans="1:7" x14ac:dyDescent="0.25">
      <c r="A34" t="s">
        <v>39</v>
      </c>
      <c r="B34" t="s">
        <v>108</v>
      </c>
      <c r="C34" t="s">
        <v>112</v>
      </c>
      <c r="D34" s="2">
        <v>45771</v>
      </c>
      <c r="E34" s="2">
        <v>45771</v>
      </c>
      <c r="F34" t="s">
        <v>114</v>
      </c>
      <c r="G34">
        <v>32.4</v>
      </c>
    </row>
    <row r="35" spans="1:7" x14ac:dyDescent="0.25">
      <c r="A35" t="s">
        <v>40</v>
      </c>
      <c r="B35" t="s">
        <v>108</v>
      </c>
      <c r="C35" t="s">
        <v>113</v>
      </c>
      <c r="D35" s="2">
        <v>45749</v>
      </c>
      <c r="E35" s="2">
        <v>45749</v>
      </c>
      <c r="F35" t="s">
        <v>114</v>
      </c>
      <c r="G35">
        <v>15.1</v>
      </c>
    </row>
    <row r="36" spans="1:7" x14ac:dyDescent="0.25">
      <c r="A36" t="s">
        <v>41</v>
      </c>
      <c r="B36" t="s">
        <v>108</v>
      </c>
      <c r="C36" t="s">
        <v>113</v>
      </c>
      <c r="D36" s="2">
        <v>45769</v>
      </c>
      <c r="E36" s="2">
        <v>45769</v>
      </c>
      <c r="F36" t="s">
        <v>114</v>
      </c>
      <c r="G36">
        <v>5.9</v>
      </c>
    </row>
    <row r="37" spans="1:7" x14ac:dyDescent="0.25">
      <c r="A37" t="s">
        <v>42</v>
      </c>
      <c r="B37" t="s">
        <v>107</v>
      </c>
      <c r="C37" t="s">
        <v>111</v>
      </c>
      <c r="D37" s="2">
        <v>45768</v>
      </c>
      <c r="E37" s="2">
        <v>45769</v>
      </c>
      <c r="F37" t="s">
        <v>115</v>
      </c>
      <c r="G37">
        <v>13.4</v>
      </c>
    </row>
    <row r="38" spans="1:7" x14ac:dyDescent="0.25">
      <c r="A38" t="s">
        <v>43</v>
      </c>
      <c r="B38" t="s">
        <v>110</v>
      </c>
      <c r="C38" t="s">
        <v>113</v>
      </c>
      <c r="D38" s="2">
        <v>45768</v>
      </c>
      <c r="E38" s="2">
        <v>45768</v>
      </c>
      <c r="F38" t="s">
        <v>114</v>
      </c>
      <c r="G38">
        <v>35.9</v>
      </c>
    </row>
    <row r="39" spans="1:7" x14ac:dyDescent="0.25">
      <c r="A39" t="s">
        <v>44</v>
      </c>
      <c r="B39" t="s">
        <v>107</v>
      </c>
      <c r="C39" t="s">
        <v>112</v>
      </c>
      <c r="D39" s="2">
        <v>45751</v>
      </c>
      <c r="E39" s="2">
        <v>45752</v>
      </c>
      <c r="F39" t="s">
        <v>115</v>
      </c>
      <c r="G39">
        <v>13.8</v>
      </c>
    </row>
    <row r="40" spans="1:7" x14ac:dyDescent="0.25">
      <c r="A40" t="s">
        <v>45</v>
      </c>
      <c r="B40" t="s">
        <v>110</v>
      </c>
      <c r="C40" t="s">
        <v>112</v>
      </c>
      <c r="D40" s="2">
        <v>45749</v>
      </c>
      <c r="E40" s="2">
        <v>45749</v>
      </c>
      <c r="F40" t="s">
        <v>114</v>
      </c>
      <c r="G40">
        <v>10.9</v>
      </c>
    </row>
    <row r="41" spans="1:7" x14ac:dyDescent="0.25">
      <c r="A41" t="s">
        <v>46</v>
      </c>
      <c r="B41" t="s">
        <v>107</v>
      </c>
      <c r="C41" t="s">
        <v>113</v>
      </c>
      <c r="D41" s="2">
        <v>45760</v>
      </c>
      <c r="E41" s="2">
        <v>45762</v>
      </c>
      <c r="F41" t="s">
        <v>115</v>
      </c>
      <c r="G41">
        <v>10.6</v>
      </c>
    </row>
    <row r="42" spans="1:7" x14ac:dyDescent="0.25">
      <c r="A42" t="s">
        <v>47</v>
      </c>
      <c r="B42" t="s">
        <v>108</v>
      </c>
      <c r="C42" t="s">
        <v>112</v>
      </c>
      <c r="D42" s="2">
        <v>45771</v>
      </c>
      <c r="E42" s="2">
        <v>45771</v>
      </c>
      <c r="F42" t="s">
        <v>114</v>
      </c>
      <c r="G42">
        <v>41.1</v>
      </c>
    </row>
    <row r="43" spans="1:7" x14ac:dyDescent="0.25">
      <c r="A43" t="s">
        <v>48</v>
      </c>
      <c r="B43" t="s">
        <v>108</v>
      </c>
      <c r="C43" t="s">
        <v>111</v>
      </c>
      <c r="D43" s="2">
        <v>45758</v>
      </c>
      <c r="E43" s="2">
        <v>45758</v>
      </c>
      <c r="F43" t="s">
        <v>114</v>
      </c>
      <c r="G43">
        <v>24</v>
      </c>
    </row>
    <row r="44" spans="1:7" x14ac:dyDescent="0.25">
      <c r="A44" t="s">
        <v>49</v>
      </c>
      <c r="B44" t="s">
        <v>109</v>
      </c>
      <c r="C44" t="s">
        <v>111</v>
      </c>
      <c r="D44" s="2">
        <v>45773</v>
      </c>
      <c r="E44" s="2">
        <v>45776</v>
      </c>
      <c r="F44" t="s">
        <v>115</v>
      </c>
      <c r="G44">
        <v>3.4</v>
      </c>
    </row>
    <row r="45" spans="1:7" x14ac:dyDescent="0.25">
      <c r="A45" t="s">
        <v>50</v>
      </c>
      <c r="B45" t="s">
        <v>107</v>
      </c>
      <c r="C45" t="s">
        <v>113</v>
      </c>
      <c r="D45" s="2">
        <v>45775</v>
      </c>
      <c r="E45" s="2">
        <v>45775</v>
      </c>
      <c r="F45" t="s">
        <v>114</v>
      </c>
      <c r="G45">
        <v>20.9</v>
      </c>
    </row>
    <row r="46" spans="1:7" x14ac:dyDescent="0.25">
      <c r="A46" t="s">
        <v>51</v>
      </c>
      <c r="B46" t="s">
        <v>107</v>
      </c>
      <c r="C46" t="s">
        <v>113</v>
      </c>
      <c r="D46" s="2">
        <v>45751</v>
      </c>
      <c r="E46" s="2">
        <v>45753</v>
      </c>
      <c r="F46" t="s">
        <v>115</v>
      </c>
      <c r="G46">
        <v>3.1</v>
      </c>
    </row>
    <row r="47" spans="1:7" x14ac:dyDescent="0.25">
      <c r="A47" t="s">
        <v>52</v>
      </c>
      <c r="B47" t="s">
        <v>109</v>
      </c>
      <c r="C47" t="s">
        <v>111</v>
      </c>
      <c r="D47" s="2">
        <v>45755</v>
      </c>
      <c r="E47" s="2">
        <v>45757</v>
      </c>
      <c r="F47" t="s">
        <v>115</v>
      </c>
      <c r="G47">
        <v>37.200000000000003</v>
      </c>
    </row>
    <row r="48" spans="1:7" x14ac:dyDescent="0.25">
      <c r="A48" t="s">
        <v>53</v>
      </c>
      <c r="B48" t="s">
        <v>108</v>
      </c>
      <c r="C48" t="s">
        <v>111</v>
      </c>
      <c r="D48" s="2">
        <v>45754</v>
      </c>
      <c r="E48" s="2">
        <v>45754</v>
      </c>
      <c r="F48" t="s">
        <v>114</v>
      </c>
      <c r="G48">
        <v>47.1</v>
      </c>
    </row>
    <row r="49" spans="1:7" x14ac:dyDescent="0.25">
      <c r="A49" t="s">
        <v>54</v>
      </c>
      <c r="B49" t="s">
        <v>107</v>
      </c>
      <c r="C49" t="s">
        <v>113</v>
      </c>
      <c r="D49" s="2">
        <v>45754</v>
      </c>
      <c r="E49" s="2">
        <v>45755</v>
      </c>
      <c r="F49" t="s">
        <v>115</v>
      </c>
      <c r="G49">
        <v>35.799999999999997</v>
      </c>
    </row>
    <row r="50" spans="1:7" x14ac:dyDescent="0.25">
      <c r="A50" t="s">
        <v>55</v>
      </c>
      <c r="B50" t="s">
        <v>109</v>
      </c>
      <c r="C50" t="s">
        <v>113</v>
      </c>
      <c r="D50" s="2">
        <v>45765</v>
      </c>
      <c r="E50" s="2">
        <v>45765</v>
      </c>
      <c r="F50" t="s">
        <v>114</v>
      </c>
      <c r="G50">
        <v>34.200000000000003</v>
      </c>
    </row>
    <row r="51" spans="1:7" x14ac:dyDescent="0.25">
      <c r="A51" t="s">
        <v>56</v>
      </c>
      <c r="B51" t="s">
        <v>107</v>
      </c>
      <c r="C51" t="s">
        <v>113</v>
      </c>
      <c r="D51" s="2">
        <v>45762</v>
      </c>
      <c r="E51" s="2">
        <v>45762</v>
      </c>
      <c r="F51" t="s">
        <v>114</v>
      </c>
      <c r="G51">
        <v>1.5</v>
      </c>
    </row>
    <row r="52" spans="1:7" x14ac:dyDescent="0.25">
      <c r="A52" t="s">
        <v>57</v>
      </c>
      <c r="B52" t="s">
        <v>110</v>
      </c>
      <c r="C52" t="s">
        <v>112</v>
      </c>
      <c r="D52" s="2">
        <v>45752</v>
      </c>
      <c r="E52" s="2">
        <v>45752</v>
      </c>
      <c r="F52" t="s">
        <v>114</v>
      </c>
      <c r="G52">
        <v>45.4</v>
      </c>
    </row>
    <row r="53" spans="1:7" x14ac:dyDescent="0.25">
      <c r="A53" t="s">
        <v>58</v>
      </c>
      <c r="B53" t="s">
        <v>108</v>
      </c>
      <c r="C53" t="s">
        <v>113</v>
      </c>
      <c r="D53" s="2">
        <v>45761</v>
      </c>
      <c r="E53" s="2">
        <v>45761</v>
      </c>
      <c r="F53" t="s">
        <v>114</v>
      </c>
      <c r="G53">
        <v>43.5</v>
      </c>
    </row>
    <row r="54" spans="1:7" x14ac:dyDescent="0.25">
      <c r="A54" t="s">
        <v>59</v>
      </c>
      <c r="B54" t="s">
        <v>110</v>
      </c>
      <c r="C54" t="s">
        <v>113</v>
      </c>
      <c r="D54" s="2">
        <v>45753</v>
      </c>
      <c r="E54" s="2">
        <v>45753</v>
      </c>
      <c r="F54" t="s">
        <v>114</v>
      </c>
      <c r="G54">
        <v>2.7</v>
      </c>
    </row>
    <row r="55" spans="1:7" x14ac:dyDescent="0.25">
      <c r="A55" t="s">
        <v>60</v>
      </c>
      <c r="B55" t="s">
        <v>108</v>
      </c>
      <c r="C55" t="s">
        <v>112</v>
      </c>
      <c r="D55" s="2">
        <v>45756</v>
      </c>
      <c r="E55" s="2">
        <v>45758</v>
      </c>
      <c r="F55" t="s">
        <v>115</v>
      </c>
      <c r="G55">
        <v>28.4</v>
      </c>
    </row>
    <row r="56" spans="1:7" x14ac:dyDescent="0.25">
      <c r="A56" t="s">
        <v>61</v>
      </c>
      <c r="B56" t="s">
        <v>109</v>
      </c>
      <c r="C56" t="s">
        <v>111</v>
      </c>
      <c r="D56" s="2">
        <v>45762</v>
      </c>
      <c r="E56" s="2">
        <v>45763</v>
      </c>
      <c r="F56" t="s">
        <v>115</v>
      </c>
      <c r="G56">
        <v>21.2</v>
      </c>
    </row>
    <row r="57" spans="1:7" x14ac:dyDescent="0.25">
      <c r="A57" t="s">
        <v>62</v>
      </c>
      <c r="B57" t="s">
        <v>108</v>
      </c>
      <c r="C57" t="s">
        <v>113</v>
      </c>
      <c r="D57" s="2">
        <v>45755</v>
      </c>
      <c r="E57" s="2">
        <v>45755</v>
      </c>
      <c r="F57" t="s">
        <v>114</v>
      </c>
      <c r="G57">
        <v>15.5</v>
      </c>
    </row>
    <row r="58" spans="1:7" x14ac:dyDescent="0.25">
      <c r="A58" t="s">
        <v>63</v>
      </c>
      <c r="B58" t="s">
        <v>108</v>
      </c>
      <c r="C58" t="s">
        <v>112</v>
      </c>
      <c r="D58" s="2">
        <v>45775</v>
      </c>
      <c r="E58" s="2">
        <v>45778</v>
      </c>
      <c r="F58" t="s">
        <v>115</v>
      </c>
      <c r="G58">
        <v>46.7</v>
      </c>
    </row>
    <row r="59" spans="1:7" x14ac:dyDescent="0.25">
      <c r="A59" t="s">
        <v>64</v>
      </c>
      <c r="B59" t="s">
        <v>109</v>
      </c>
      <c r="C59" t="s">
        <v>113</v>
      </c>
      <c r="D59" s="2">
        <v>45777</v>
      </c>
      <c r="E59" s="2">
        <v>45777</v>
      </c>
      <c r="F59" t="s">
        <v>114</v>
      </c>
      <c r="G59">
        <v>43.2</v>
      </c>
    </row>
    <row r="60" spans="1:7" x14ac:dyDescent="0.25">
      <c r="A60" t="s">
        <v>65</v>
      </c>
      <c r="B60" t="s">
        <v>108</v>
      </c>
      <c r="C60" t="s">
        <v>113</v>
      </c>
      <c r="D60" s="2">
        <v>45750</v>
      </c>
      <c r="E60" s="2">
        <v>45751</v>
      </c>
      <c r="F60" t="s">
        <v>115</v>
      </c>
      <c r="G60">
        <v>33.1</v>
      </c>
    </row>
    <row r="61" spans="1:7" x14ac:dyDescent="0.25">
      <c r="A61" t="s">
        <v>66</v>
      </c>
      <c r="B61" t="s">
        <v>107</v>
      </c>
      <c r="C61" t="s">
        <v>112</v>
      </c>
      <c r="D61" s="2">
        <v>45762</v>
      </c>
      <c r="E61" s="2">
        <v>45762</v>
      </c>
      <c r="F61" t="s">
        <v>114</v>
      </c>
      <c r="G61">
        <v>5.8</v>
      </c>
    </row>
    <row r="62" spans="1:7" x14ac:dyDescent="0.25">
      <c r="A62" t="s">
        <v>67</v>
      </c>
      <c r="B62" t="s">
        <v>109</v>
      </c>
      <c r="C62" t="s">
        <v>111</v>
      </c>
      <c r="D62" s="2">
        <v>45773</v>
      </c>
      <c r="E62" s="2">
        <v>45776</v>
      </c>
      <c r="F62" t="s">
        <v>115</v>
      </c>
      <c r="G62">
        <v>27.3</v>
      </c>
    </row>
    <row r="63" spans="1:7" x14ac:dyDescent="0.25">
      <c r="A63" t="s">
        <v>68</v>
      </c>
      <c r="B63" t="s">
        <v>109</v>
      </c>
      <c r="C63" t="s">
        <v>112</v>
      </c>
      <c r="D63" s="2">
        <v>45775</v>
      </c>
      <c r="E63" s="2">
        <v>45778</v>
      </c>
      <c r="F63" t="s">
        <v>115</v>
      </c>
      <c r="G63">
        <v>20.100000000000001</v>
      </c>
    </row>
    <row r="64" spans="1:7" x14ac:dyDescent="0.25">
      <c r="A64" t="s">
        <v>69</v>
      </c>
      <c r="B64" t="s">
        <v>109</v>
      </c>
      <c r="C64" t="s">
        <v>113</v>
      </c>
      <c r="D64" s="2">
        <v>45775</v>
      </c>
      <c r="E64" s="2">
        <v>45775</v>
      </c>
      <c r="F64" t="s">
        <v>114</v>
      </c>
      <c r="G64">
        <v>36.200000000000003</v>
      </c>
    </row>
    <row r="65" spans="1:7" x14ac:dyDescent="0.25">
      <c r="A65" t="s">
        <v>70</v>
      </c>
      <c r="B65" t="s">
        <v>110</v>
      </c>
      <c r="C65" t="s">
        <v>111</v>
      </c>
      <c r="D65" s="2">
        <v>45765</v>
      </c>
      <c r="E65" s="2">
        <v>45766</v>
      </c>
      <c r="F65" t="s">
        <v>115</v>
      </c>
      <c r="G65">
        <v>41.6</v>
      </c>
    </row>
    <row r="66" spans="1:7" x14ac:dyDescent="0.25">
      <c r="A66" t="s">
        <v>71</v>
      </c>
      <c r="B66" t="s">
        <v>110</v>
      </c>
      <c r="C66" t="s">
        <v>112</v>
      </c>
      <c r="D66" s="2">
        <v>45751</v>
      </c>
      <c r="E66" s="2">
        <v>45754</v>
      </c>
      <c r="F66" t="s">
        <v>115</v>
      </c>
      <c r="G66">
        <v>39.1</v>
      </c>
    </row>
    <row r="67" spans="1:7" x14ac:dyDescent="0.25">
      <c r="A67" t="s">
        <v>72</v>
      </c>
      <c r="B67" t="s">
        <v>108</v>
      </c>
      <c r="C67" t="s">
        <v>112</v>
      </c>
      <c r="D67" s="2">
        <v>45749</v>
      </c>
      <c r="E67" s="2">
        <v>45748</v>
      </c>
      <c r="F67" t="s">
        <v>114</v>
      </c>
      <c r="G67">
        <v>2.2000000000000002</v>
      </c>
    </row>
    <row r="68" spans="1:7" x14ac:dyDescent="0.25">
      <c r="A68" t="s">
        <v>73</v>
      </c>
      <c r="B68" t="s">
        <v>109</v>
      </c>
      <c r="C68" t="s">
        <v>111</v>
      </c>
      <c r="D68" s="2">
        <v>45768</v>
      </c>
      <c r="E68" s="2">
        <v>45768</v>
      </c>
      <c r="F68" t="s">
        <v>114</v>
      </c>
      <c r="G68">
        <v>44.5</v>
      </c>
    </row>
    <row r="69" spans="1:7" x14ac:dyDescent="0.25">
      <c r="A69" t="s">
        <v>74</v>
      </c>
      <c r="B69" t="s">
        <v>108</v>
      </c>
      <c r="C69" t="s">
        <v>113</v>
      </c>
      <c r="D69" s="2">
        <v>45765</v>
      </c>
      <c r="E69" s="2">
        <v>45768</v>
      </c>
      <c r="F69" t="s">
        <v>115</v>
      </c>
      <c r="G69">
        <v>44.7</v>
      </c>
    </row>
    <row r="70" spans="1:7" x14ac:dyDescent="0.25">
      <c r="A70" t="s">
        <v>75</v>
      </c>
      <c r="B70" t="s">
        <v>107</v>
      </c>
      <c r="C70" t="s">
        <v>112</v>
      </c>
      <c r="D70" s="2">
        <v>45774</v>
      </c>
      <c r="E70" s="2">
        <v>45777</v>
      </c>
      <c r="F70" t="s">
        <v>115</v>
      </c>
      <c r="G70">
        <v>32.5</v>
      </c>
    </row>
    <row r="71" spans="1:7" x14ac:dyDescent="0.25">
      <c r="A71" t="s">
        <v>76</v>
      </c>
      <c r="B71" t="s">
        <v>109</v>
      </c>
      <c r="C71" t="s">
        <v>112</v>
      </c>
      <c r="D71" s="2">
        <v>45748</v>
      </c>
      <c r="E71" s="2">
        <v>45748</v>
      </c>
      <c r="F71" t="s">
        <v>114</v>
      </c>
      <c r="G71">
        <v>39.1</v>
      </c>
    </row>
    <row r="72" spans="1:7" x14ac:dyDescent="0.25">
      <c r="A72" t="s">
        <v>77</v>
      </c>
      <c r="B72" t="s">
        <v>107</v>
      </c>
      <c r="C72" t="s">
        <v>112</v>
      </c>
      <c r="D72" s="2">
        <v>45750</v>
      </c>
      <c r="E72" s="2">
        <v>45752</v>
      </c>
      <c r="F72" t="s">
        <v>115</v>
      </c>
      <c r="G72">
        <v>8.5</v>
      </c>
    </row>
    <row r="73" spans="1:7" x14ac:dyDescent="0.25">
      <c r="A73" t="s">
        <v>78</v>
      </c>
      <c r="B73" t="s">
        <v>108</v>
      </c>
      <c r="C73" t="s">
        <v>113</v>
      </c>
      <c r="D73" s="2">
        <v>45777</v>
      </c>
      <c r="E73" s="2">
        <v>45777</v>
      </c>
      <c r="F73" t="s">
        <v>114</v>
      </c>
      <c r="G73">
        <v>6.1</v>
      </c>
    </row>
    <row r="74" spans="1:7" x14ac:dyDescent="0.25">
      <c r="A74" t="s">
        <v>79</v>
      </c>
      <c r="B74" t="s">
        <v>110</v>
      </c>
      <c r="C74" t="s">
        <v>112</v>
      </c>
      <c r="D74" s="2">
        <v>45772</v>
      </c>
      <c r="E74" s="2">
        <v>45775</v>
      </c>
      <c r="F74" t="s">
        <v>115</v>
      </c>
      <c r="G74">
        <v>2.8</v>
      </c>
    </row>
    <row r="75" spans="1:7" x14ac:dyDescent="0.25">
      <c r="A75" t="s">
        <v>80</v>
      </c>
      <c r="B75" t="s">
        <v>108</v>
      </c>
      <c r="C75" t="s">
        <v>111</v>
      </c>
      <c r="D75" s="2">
        <v>45775</v>
      </c>
      <c r="E75" s="2">
        <v>45774</v>
      </c>
      <c r="F75" t="s">
        <v>114</v>
      </c>
      <c r="G75">
        <v>11.5</v>
      </c>
    </row>
    <row r="76" spans="1:7" x14ac:dyDescent="0.25">
      <c r="A76" t="s">
        <v>81</v>
      </c>
      <c r="B76" t="s">
        <v>107</v>
      </c>
      <c r="C76" t="s">
        <v>111</v>
      </c>
      <c r="D76" s="2">
        <v>45755</v>
      </c>
      <c r="E76" s="2">
        <v>45758</v>
      </c>
      <c r="F76" t="s">
        <v>115</v>
      </c>
      <c r="G76">
        <v>44.2</v>
      </c>
    </row>
    <row r="77" spans="1:7" x14ac:dyDescent="0.25">
      <c r="A77" t="s">
        <v>82</v>
      </c>
      <c r="B77" t="s">
        <v>109</v>
      </c>
      <c r="C77" t="s">
        <v>112</v>
      </c>
      <c r="D77" s="2">
        <v>45753</v>
      </c>
      <c r="E77" s="2">
        <v>45755</v>
      </c>
      <c r="F77" t="s">
        <v>115</v>
      </c>
      <c r="G77">
        <v>15.3</v>
      </c>
    </row>
    <row r="78" spans="1:7" x14ac:dyDescent="0.25">
      <c r="A78" t="s">
        <v>83</v>
      </c>
      <c r="B78" t="s">
        <v>108</v>
      </c>
      <c r="C78" t="s">
        <v>112</v>
      </c>
      <c r="D78" s="2">
        <v>45761</v>
      </c>
      <c r="E78" s="2">
        <v>45764</v>
      </c>
      <c r="F78" t="s">
        <v>115</v>
      </c>
      <c r="G78">
        <v>42</v>
      </c>
    </row>
    <row r="79" spans="1:7" x14ac:dyDescent="0.25">
      <c r="A79" t="s">
        <v>84</v>
      </c>
      <c r="B79" t="s">
        <v>109</v>
      </c>
      <c r="C79" t="s">
        <v>111</v>
      </c>
      <c r="D79" s="2">
        <v>45763</v>
      </c>
      <c r="E79" s="2">
        <v>45764</v>
      </c>
      <c r="F79" t="s">
        <v>115</v>
      </c>
      <c r="G79">
        <v>2.1</v>
      </c>
    </row>
    <row r="80" spans="1:7" x14ac:dyDescent="0.25">
      <c r="A80" t="s">
        <v>85</v>
      </c>
      <c r="B80" t="s">
        <v>110</v>
      </c>
      <c r="C80" t="s">
        <v>111</v>
      </c>
      <c r="D80" s="2">
        <v>45763</v>
      </c>
      <c r="E80" s="2">
        <v>45764</v>
      </c>
      <c r="F80" t="s">
        <v>115</v>
      </c>
      <c r="G80">
        <v>19.7</v>
      </c>
    </row>
    <row r="81" spans="1:7" x14ac:dyDescent="0.25">
      <c r="A81" t="s">
        <v>86</v>
      </c>
      <c r="B81" t="s">
        <v>110</v>
      </c>
      <c r="C81" t="s">
        <v>112</v>
      </c>
      <c r="D81" s="2">
        <v>45754</v>
      </c>
      <c r="E81" s="2">
        <v>45756</v>
      </c>
      <c r="F81" t="s">
        <v>115</v>
      </c>
      <c r="G81">
        <v>41.6</v>
      </c>
    </row>
    <row r="82" spans="1:7" x14ac:dyDescent="0.25">
      <c r="A82" t="s">
        <v>87</v>
      </c>
      <c r="B82" t="s">
        <v>110</v>
      </c>
      <c r="C82" t="s">
        <v>111</v>
      </c>
      <c r="D82" s="2">
        <v>45775</v>
      </c>
      <c r="E82" s="2">
        <v>45778</v>
      </c>
      <c r="F82" t="s">
        <v>115</v>
      </c>
      <c r="G82">
        <v>14.1</v>
      </c>
    </row>
    <row r="83" spans="1:7" x14ac:dyDescent="0.25">
      <c r="A83" t="s">
        <v>88</v>
      </c>
      <c r="B83" t="s">
        <v>109</v>
      </c>
      <c r="C83" t="s">
        <v>113</v>
      </c>
      <c r="D83" s="2">
        <v>45760</v>
      </c>
      <c r="E83" s="2">
        <v>45760</v>
      </c>
      <c r="F83" t="s">
        <v>114</v>
      </c>
      <c r="G83">
        <v>24.9</v>
      </c>
    </row>
    <row r="84" spans="1:7" x14ac:dyDescent="0.25">
      <c r="A84" t="s">
        <v>89</v>
      </c>
      <c r="B84" t="s">
        <v>108</v>
      </c>
      <c r="C84" t="s">
        <v>113</v>
      </c>
      <c r="D84" s="2">
        <v>45776</v>
      </c>
      <c r="E84" s="2">
        <v>45776</v>
      </c>
      <c r="F84" t="s">
        <v>114</v>
      </c>
      <c r="G84">
        <v>47.1</v>
      </c>
    </row>
    <row r="85" spans="1:7" x14ac:dyDescent="0.25">
      <c r="A85" t="s">
        <v>90</v>
      </c>
      <c r="B85" t="s">
        <v>109</v>
      </c>
      <c r="C85" t="s">
        <v>113</v>
      </c>
      <c r="D85" s="2">
        <v>45749</v>
      </c>
      <c r="E85" s="2">
        <v>45749</v>
      </c>
      <c r="F85" t="s">
        <v>114</v>
      </c>
      <c r="G85">
        <v>16.600000000000001</v>
      </c>
    </row>
    <row r="86" spans="1:7" x14ac:dyDescent="0.25">
      <c r="A86" t="s">
        <v>91</v>
      </c>
      <c r="B86" t="s">
        <v>109</v>
      </c>
      <c r="C86" t="s">
        <v>113</v>
      </c>
      <c r="D86" s="2">
        <v>45753</v>
      </c>
      <c r="E86" s="2">
        <v>45753</v>
      </c>
      <c r="F86" t="s">
        <v>114</v>
      </c>
      <c r="G86">
        <v>6.4</v>
      </c>
    </row>
    <row r="87" spans="1:7" x14ac:dyDescent="0.25">
      <c r="A87" t="s">
        <v>92</v>
      </c>
      <c r="B87" t="s">
        <v>108</v>
      </c>
      <c r="C87" t="s">
        <v>111</v>
      </c>
      <c r="D87" s="2">
        <v>45760</v>
      </c>
      <c r="E87" s="2">
        <v>45762</v>
      </c>
      <c r="F87" t="s">
        <v>115</v>
      </c>
      <c r="G87">
        <v>9.4</v>
      </c>
    </row>
    <row r="88" spans="1:7" x14ac:dyDescent="0.25">
      <c r="A88" t="s">
        <v>93</v>
      </c>
      <c r="B88" t="s">
        <v>110</v>
      </c>
      <c r="C88" t="s">
        <v>113</v>
      </c>
      <c r="D88" s="2">
        <v>45748</v>
      </c>
      <c r="E88" s="2">
        <v>45750</v>
      </c>
      <c r="F88" t="s">
        <v>115</v>
      </c>
      <c r="G88">
        <v>2.8</v>
      </c>
    </row>
    <row r="89" spans="1:7" x14ac:dyDescent="0.25">
      <c r="A89" t="s">
        <v>94</v>
      </c>
      <c r="B89" t="s">
        <v>110</v>
      </c>
      <c r="C89" t="s">
        <v>112</v>
      </c>
      <c r="D89" s="2">
        <v>45760</v>
      </c>
      <c r="E89" s="2">
        <v>45760</v>
      </c>
      <c r="F89" t="s">
        <v>114</v>
      </c>
      <c r="G89">
        <v>21.4</v>
      </c>
    </row>
    <row r="90" spans="1:7" x14ac:dyDescent="0.25">
      <c r="A90" t="s">
        <v>95</v>
      </c>
      <c r="B90" t="s">
        <v>108</v>
      </c>
      <c r="C90" t="s">
        <v>112</v>
      </c>
      <c r="D90" s="2">
        <v>45756</v>
      </c>
      <c r="E90" s="2">
        <v>45756</v>
      </c>
      <c r="F90" t="s">
        <v>114</v>
      </c>
      <c r="G90">
        <v>38</v>
      </c>
    </row>
    <row r="91" spans="1:7" x14ac:dyDescent="0.25">
      <c r="A91" t="s">
        <v>96</v>
      </c>
      <c r="B91" t="s">
        <v>109</v>
      </c>
      <c r="C91" t="s">
        <v>113</v>
      </c>
      <c r="D91" s="2">
        <v>45777</v>
      </c>
      <c r="E91" s="2">
        <v>45776</v>
      </c>
      <c r="F91" t="s">
        <v>114</v>
      </c>
      <c r="G91">
        <v>29.5</v>
      </c>
    </row>
    <row r="92" spans="1:7" x14ac:dyDescent="0.25">
      <c r="A92" t="s">
        <v>97</v>
      </c>
      <c r="B92" t="s">
        <v>109</v>
      </c>
      <c r="C92" t="s">
        <v>112</v>
      </c>
      <c r="D92" s="2">
        <v>45773</v>
      </c>
      <c r="E92" s="2">
        <v>45773</v>
      </c>
      <c r="F92" t="s">
        <v>114</v>
      </c>
      <c r="G92">
        <v>6.4</v>
      </c>
    </row>
    <row r="93" spans="1:7" x14ac:dyDescent="0.25">
      <c r="A93" t="s">
        <v>98</v>
      </c>
      <c r="B93" t="s">
        <v>110</v>
      </c>
      <c r="C93" t="s">
        <v>113</v>
      </c>
      <c r="D93" s="2">
        <v>45773</v>
      </c>
      <c r="E93" s="2">
        <v>45773</v>
      </c>
      <c r="F93" t="s">
        <v>114</v>
      </c>
      <c r="G93">
        <v>9.9</v>
      </c>
    </row>
    <row r="94" spans="1:7" x14ac:dyDescent="0.25">
      <c r="A94" t="s">
        <v>99</v>
      </c>
      <c r="B94" t="s">
        <v>107</v>
      </c>
      <c r="C94" t="s">
        <v>113</v>
      </c>
      <c r="D94" s="2">
        <v>45762</v>
      </c>
      <c r="E94" s="2">
        <v>45762</v>
      </c>
      <c r="F94" t="s">
        <v>114</v>
      </c>
      <c r="G94">
        <v>34.299999999999997</v>
      </c>
    </row>
    <row r="95" spans="1:7" x14ac:dyDescent="0.25">
      <c r="A95" t="s">
        <v>100</v>
      </c>
      <c r="B95" t="s">
        <v>107</v>
      </c>
      <c r="C95" t="s">
        <v>113</v>
      </c>
      <c r="D95" s="2">
        <v>45757</v>
      </c>
      <c r="E95" s="2">
        <v>45757</v>
      </c>
      <c r="F95" t="s">
        <v>114</v>
      </c>
      <c r="G95">
        <v>25.4</v>
      </c>
    </row>
    <row r="96" spans="1:7" x14ac:dyDescent="0.25">
      <c r="A96" t="s">
        <v>101</v>
      </c>
      <c r="B96" t="s">
        <v>107</v>
      </c>
      <c r="C96" t="s">
        <v>112</v>
      </c>
      <c r="D96" s="2">
        <v>45761</v>
      </c>
      <c r="E96" s="2">
        <v>45764</v>
      </c>
      <c r="F96" t="s">
        <v>115</v>
      </c>
      <c r="G96">
        <v>26.3</v>
      </c>
    </row>
    <row r="97" spans="1:7" x14ac:dyDescent="0.25">
      <c r="A97" t="s">
        <v>102</v>
      </c>
      <c r="B97" t="s">
        <v>109</v>
      </c>
      <c r="C97" t="s">
        <v>112</v>
      </c>
      <c r="D97" s="2">
        <v>45770</v>
      </c>
      <c r="E97" s="2">
        <v>45770</v>
      </c>
      <c r="F97" t="s">
        <v>114</v>
      </c>
      <c r="G97">
        <v>45.2</v>
      </c>
    </row>
    <row r="98" spans="1:7" x14ac:dyDescent="0.25">
      <c r="A98" t="s">
        <v>103</v>
      </c>
      <c r="B98" t="s">
        <v>109</v>
      </c>
      <c r="C98" t="s">
        <v>113</v>
      </c>
      <c r="D98" s="2">
        <v>45771</v>
      </c>
      <c r="E98" s="2">
        <v>45771</v>
      </c>
      <c r="F98" t="s">
        <v>114</v>
      </c>
      <c r="G98">
        <v>32.5</v>
      </c>
    </row>
    <row r="99" spans="1:7" x14ac:dyDescent="0.25">
      <c r="A99" t="s">
        <v>104</v>
      </c>
      <c r="B99" t="s">
        <v>110</v>
      </c>
      <c r="C99" t="s">
        <v>113</v>
      </c>
      <c r="D99" s="2">
        <v>45773</v>
      </c>
      <c r="E99" s="2">
        <v>45775</v>
      </c>
      <c r="F99" t="s">
        <v>115</v>
      </c>
      <c r="G99">
        <v>21.3</v>
      </c>
    </row>
    <row r="100" spans="1:7" x14ac:dyDescent="0.25">
      <c r="A100" t="s">
        <v>105</v>
      </c>
      <c r="B100" t="s">
        <v>107</v>
      </c>
      <c r="C100" t="s">
        <v>113</v>
      </c>
      <c r="D100" s="2">
        <v>45765</v>
      </c>
      <c r="E100" s="2">
        <v>45765</v>
      </c>
      <c r="F100" t="s">
        <v>114</v>
      </c>
      <c r="G100">
        <v>44.3</v>
      </c>
    </row>
    <row r="101" spans="1:7" x14ac:dyDescent="0.25">
      <c r="A101" t="s">
        <v>106</v>
      </c>
      <c r="B101" t="s">
        <v>110</v>
      </c>
      <c r="C101" t="s">
        <v>113</v>
      </c>
      <c r="D101" s="2">
        <v>45769</v>
      </c>
      <c r="E101" s="2">
        <v>45769</v>
      </c>
      <c r="F101" t="s">
        <v>114</v>
      </c>
      <c r="G101">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Dataset</vt:lpstr>
      <vt:lpstr>Pivot Table</vt:lpstr>
      <vt:lpstr>Raw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Sendbox Tech</dc:creator>
  <cp:lastModifiedBy>Sendbox Tech</cp:lastModifiedBy>
  <dcterms:created xsi:type="dcterms:W3CDTF">2025-05-03T12:58:22Z</dcterms:created>
  <dcterms:modified xsi:type="dcterms:W3CDTF">2025-05-03T23:49:52Z</dcterms:modified>
</cp:coreProperties>
</file>